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Raw Data" sheetId="2" r:id="rId6"/>
    <sheet name="Dashboard" sheetId="3" r:id="rId7"/>
    <sheet name="Pivot Analysis" sheetId="4" r:id="rId8"/>
    <sheet name="Regression" sheetId="5" r:id="rId9"/>
    <sheet name="Insights" sheetId="6" r:id="rId10"/>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<sst xmlns="http://schemas.openxmlformats.org/spreadsheetml/2006/main" uniqueCount="60">
  <si>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</si>
  <si>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</si>
  <si>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</si>
  <si>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</si>
  <si>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Raw Data</t>
  </si>
  <si>
    <t>Table 1</t>
  </si>
  <si>
    <r>
      <rPr>
        <u val="single"/>
        <sz val="12"/>
        <color indexed="13"/>
        <rFont val="Calibri"/>
      </rPr>
      <t>Raw Data</t>
    </r>
  </si>
  <si>
    <t>Dashboard</t>
  </si>
  <si>
    <r>
      <rPr>
        <u val="single"/>
        <sz val="12"/>
        <color indexed="13"/>
        <rFont val="Calibri"/>
      </rPr>
      <t>Dashboard</t>
    </r>
  </si>
  <si>
    <t>Pivot Analysis</t>
  </si>
  <si>
    <r>
      <rPr>
        <u val="single"/>
        <sz val="12"/>
        <color indexed="13"/>
        <rFont val="Calibri"/>
      </rPr>
      <t>Pivot Analysis</t>
    </r>
  </si>
  <si>
    <t>Regression</t>
  </si>
  <si>
    <r>
      <rPr>
        <u val="single"/>
        <sz val="12"/>
        <color indexed="13"/>
        <rFont val="Calibri"/>
      </rPr>
      <t>Regression</t>
    </r>
  </si>
  <si>
    <t>Insights</t>
  </si>
  <si>
    <r>
      <rPr>
        <u val="single"/>
        <sz val="12"/>
        <color indexed="13"/>
        <rFont val="Calibri"/>
      </rPr>
      <t>Insights</t>
    </r>
  </si>
  <si>
    <t>Financial Year</t>
  </si>
  <si>
    <t>Revenue (₹ Cr)</t>
  </si>
  <si>
    <t>Net Profit (₹ Cr)</t>
  </si>
  <si>
    <t>Operating Cash Flow (₹ Cr)</t>
  </si>
  <si>
    <t>Revenue Growth %</t>
  </si>
  <si>
    <t>Profit Margin %</t>
  </si>
  <si>
    <t>OCF Margin %</t>
  </si>
  <si>
    <t>FY2016-17</t>
  </si>
  <si>
    <t>FY2017-18</t>
  </si>
  <si>
    <t>FY2018-19</t>
  </si>
  <si>
    <t>FY2019-20</t>
  </si>
  <si>
    <t>FY2020-21</t>
  </si>
  <si>
    <t>FY2021-22</t>
  </si>
  <si>
    <t>FY2022-23</t>
  </si>
  <si>
    <t>FY2023-24</t>
  </si>
  <si>
    <t>FY2024-25</t>
  </si>
  <si>
    <t>FY2025-26</t>
  </si>
  <si>
    <t>TCS FINANCIAL ANALYSIS DASHBOARD</t>
  </si>
  <si>
    <t>Operating Cash Flow</t>
  </si>
  <si>
    <t>PIVOT ANALYSIS</t>
  </si>
  <si>
    <t>Metric</t>
  </si>
  <si>
    <t>Value</t>
  </si>
  <si>
    <t>Select a financial year to view its metrics.</t>
  </si>
  <si>
    <t>LINEAR REGRESSION — REVENUE</t>
  </si>
  <si>
    <t>Year Index</t>
  </si>
  <si>
    <t>Actual Revenue</t>
  </si>
  <si>
    <t>Predicted Revenue</t>
  </si>
  <si>
    <t>Residual</t>
  </si>
  <si>
    <t>Slope</t>
  </si>
  <si>
    <t>Intercept</t>
  </si>
  <si>
    <t>FY2026-27 Revenue Prediction</t>
  </si>
  <si>
    <t>R²</t>
  </si>
  <si>
    <t>Method</t>
  </si>
  <si>
    <t>Linear regression using Excel SLOPE, INTERCEPT and RSQ formulas.</t>
  </si>
  <si>
    <t>INSIGHTS &amp; INTERPRETATION</t>
  </si>
  <si>
    <t>Observation</t>
  </si>
  <si>
    <t>Interpretation</t>
  </si>
  <si>
    <t>Revenue trend</t>
  </si>
  <si>
    <t>Revenue increases across the supplied FY2016-17 to FY2025-26 data, with positive year-on-year growth in the periods shown.</t>
  </si>
  <si>
    <t>Profitability</t>
  </si>
  <si>
    <t>Net profit and profit margin are positive throughout the supplied dataset and the margin remains in the same general range across the period.</t>
  </si>
  <si>
    <t>Cash flow</t>
  </si>
  <si>
    <t>Operating cash flow increases over the supplied period, indicating higher operating cash generation in the later years of the dataset.</t>
  </si>
  <si>
    <t>Regression prediction</t>
  </si>
  <si>
    <t>The linear regression model provides a FY2026-27 revenue estimate based on the historical year-index trend. R² indicates how much of the historical variation is explained by that linear relationship.</t>
  </si>
</sst>
</file>

<file path=xl/styles.xml><?xml version="1.0" encoding="utf-8"?>
<styleSheet xmlns="http://schemas.openxmlformats.org/spreadsheetml/2006/main">
  <numFmts count="1">
    <numFmt numFmtId="0" formatCode="General"/>
  </numFmts>
  <fonts count="19">
    <font>
      <sz val="11"/>
      <color indexed="8"/>
      <name val="Calibri"/>
    </font>
    <font>
      <sz val="12"/>
      <color indexed="8"/>
      <name val="Helvetica Neue"/>
    </font>
    <font>
      <sz val="15"/>
      <color indexed="8"/>
      <name val="Calibri"/>
    </font>
    <font>
      <sz val="12"/>
      <color indexed="8"/>
      <name val="Calibri"/>
    </font>
    <font>
      <sz val="14"/>
      <color indexed="8"/>
      <name val="Calibri"/>
    </font>
    <font>
      <u val="single"/>
      <sz val="12"/>
      <color indexed="13"/>
      <name val="Calibri"/>
    </font>
    <font>
      <b val="1"/>
      <sz val="11"/>
      <color indexed="10"/>
      <name val="Calibri"/>
    </font>
    <font>
      <b val="1"/>
      <sz val="20"/>
      <color indexed="10"/>
      <name val="Calibri"/>
    </font>
    <font>
      <i val="1"/>
      <sz val="11"/>
      <color indexed="17"/>
      <name val="Calibri"/>
    </font>
    <font>
      <b val="1"/>
      <sz val="11"/>
      <color indexed="14"/>
      <name val="Calibri"/>
    </font>
    <font>
      <b val="1"/>
      <sz val="18"/>
      <color indexed="19"/>
      <name val="Calibri"/>
    </font>
    <font>
      <sz val="10"/>
      <color indexed="8"/>
      <name val="Helvetica Neue"/>
    </font>
    <font>
      <sz val="18"/>
      <color indexed="8"/>
      <name val="Helvetica Neue"/>
    </font>
    <font>
      <sz val="18"/>
      <color indexed="8"/>
      <name val="Calibri"/>
    </font>
    <font>
      <b val="1"/>
      <sz val="10"/>
      <color indexed="8"/>
      <name val="Calibri"/>
    </font>
    <font>
      <sz val="10"/>
      <color indexed="8"/>
      <name val="Calibri"/>
    </font>
    <font>
      <b val="1"/>
      <sz val="18"/>
      <color indexed="8"/>
      <name val="Calibri"/>
    </font>
    <font>
      <b val="1"/>
      <sz val="18"/>
      <color indexed="10"/>
      <name val="Calibri"/>
    </font>
    <font>
      <sz val="11"/>
      <color indexed="17"/>
      <name val="Calibri"/>
    </font>
  </fonts>
  <fills count="8">
    <fill>
      <patternFill patternType="none"/>
    </fill>
    <fill>
      <patternFill patternType="gray125"/>
    </fill>
    <fill>
      <patternFill patternType="solid">
        <fgColor indexed="10"/>
        <bgColor auto="1"/>
      </patternFill>
    </fill>
    <fill>
      <patternFill patternType="solid">
        <fgColor indexed="11"/>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
      <patternFill patternType="solid">
        <fgColor indexed="23"/>
        <bgColor auto="1"/>
      </patternFill>
    </fill>
  </fills>
  <borders count="27">
    <border>
      <left/>
      <right/>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right/>
      <top/>
      <bottom/>
      <diagonal/>
    </border>
    <border>
      <left/>
      <right style="thin">
        <color indexed="9"/>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style="thin">
        <color indexed="15"/>
      </left>
      <right/>
      <top style="thin">
        <color indexed="15"/>
      </top>
      <bottom style="thin">
        <color indexed="15"/>
      </bottom>
      <diagonal/>
    </border>
    <border>
      <left/>
      <right/>
      <top style="thin">
        <color indexed="15"/>
      </top>
      <bottom style="thin">
        <color indexed="15"/>
      </bottom>
      <diagonal/>
    </border>
    <border>
      <left/>
      <right style="thin">
        <color indexed="15"/>
      </right>
      <top style="thin">
        <color indexed="15"/>
      </top>
      <bottom style="thin">
        <color indexed="15"/>
      </bottom>
      <diagonal/>
    </border>
    <border>
      <left style="thin">
        <color indexed="15"/>
      </left>
      <right style="thin">
        <color indexed="9"/>
      </right>
      <top style="thin">
        <color indexed="9"/>
      </top>
      <bottom/>
      <diagonal/>
    </border>
    <border>
      <left style="thin">
        <color indexed="15"/>
      </left>
      <right style="thin">
        <color indexed="9"/>
      </right>
      <top/>
      <bottom/>
      <diagonal/>
    </border>
    <border>
      <left style="thin">
        <color indexed="9"/>
      </left>
      <right/>
      <top style="thin">
        <color indexed="15"/>
      </top>
      <bottom style="thin">
        <color indexed="9"/>
      </bottom>
      <diagonal/>
    </border>
    <border>
      <left/>
      <right/>
      <top style="thin">
        <color indexed="15"/>
      </top>
      <bottom style="thin">
        <color indexed="9"/>
      </bottom>
      <diagonal/>
    </border>
    <border>
      <left style="thin">
        <color indexed="9"/>
      </left>
      <right style="thin">
        <color indexed="9"/>
      </right>
      <top style="thin">
        <color indexed="9"/>
      </top>
      <bottom/>
      <diagonal/>
    </border>
    <border>
      <left style="thin">
        <color indexed="9"/>
      </left>
      <right style="thin">
        <color indexed="9"/>
      </right>
      <top/>
      <bottom/>
      <diagonal/>
    </border>
    <border>
      <left style="thin">
        <color indexed="9"/>
      </left>
      <right/>
      <top/>
      <bottom style="thin">
        <color indexed="18"/>
      </bottom>
      <diagonal/>
    </border>
    <border>
      <left/>
      <right/>
      <top/>
      <bottom style="thin">
        <color indexed="18"/>
      </bottom>
      <diagonal/>
    </border>
    <border>
      <left/>
      <right style="thin">
        <color indexed="9"/>
      </right>
      <top/>
      <bottom style="thin">
        <color indexed="18"/>
      </bottom>
      <diagonal/>
    </border>
    <border>
      <left style="thin">
        <color indexed="18"/>
      </left>
      <right style="thin">
        <color indexed="18"/>
      </right>
      <top style="thin">
        <color indexed="18"/>
      </top>
      <bottom style="thin">
        <color indexed="18"/>
      </bottom>
      <diagonal/>
    </border>
    <border>
      <left style="thin">
        <color indexed="18"/>
      </left>
      <right style="thin">
        <color indexed="9"/>
      </right>
      <top/>
      <bottom/>
      <diagonal/>
    </border>
    <border>
      <left style="thin">
        <color indexed="9"/>
      </left>
      <right/>
      <top style="thin">
        <color indexed="18"/>
      </top>
      <bottom style="thin">
        <color indexed="9"/>
      </bottom>
      <diagonal/>
    </border>
    <border>
      <left/>
      <right/>
      <top style="thin">
        <color indexed="18"/>
      </top>
      <bottom style="thin">
        <color indexed="9"/>
      </bottom>
      <diagonal/>
    </border>
    <border>
      <left/>
      <right style="thin">
        <color indexed="9"/>
      </right>
      <top style="thin">
        <color indexed="18"/>
      </top>
      <bottom style="thin">
        <color indexed="9"/>
      </bottom>
      <diagonal/>
    </border>
  </borders>
  <cellStyleXfs count="1">
    <xf numFmtId="0" fontId="0" applyNumberFormat="0" applyFont="1" applyFill="0" applyBorder="0" applyAlignment="1" applyProtection="0">
      <alignment vertical="bottom"/>
    </xf>
  </cellStyleXfs>
  <cellXfs count="89">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3" fillId="2" borderId="5" applyNumberFormat="1" applyFont="1" applyFill="1" applyBorder="1" applyAlignment="1" applyProtection="0">
      <alignment horizontal="left" vertical="bottom" wrapText="1"/>
    </xf>
    <xf numFmtId="49" fontId="4" borderId="5" applyNumberFormat="1" applyFont="1" applyFill="0" applyBorder="1" applyAlignment="1" applyProtection="0">
      <alignment horizontal="left" vertical="bottom"/>
    </xf>
    <xf numFmtId="49" fontId="3" fillId="3" borderId="5" applyNumberFormat="1" applyFont="1" applyFill="1" applyBorder="1" applyAlignment="1" applyProtection="0">
      <alignment horizontal="left" vertical="bottom"/>
    </xf>
    <xf numFmtId="0" fontId="3" fillId="3" borderId="5" applyNumberFormat="0" applyFont="1" applyFill="1" applyBorder="1" applyAlignment="1" applyProtection="0">
      <alignment horizontal="left" vertical="bottom"/>
    </xf>
    <xf numFmtId="0" fontId="3" fillId="4" borderId="5" applyNumberFormat="0" applyFont="1" applyFill="1" applyBorder="1" applyAlignment="1" applyProtection="0">
      <alignment horizontal="left" vertical="bottom"/>
    </xf>
    <xf numFmtId="49" fontId="3" fillId="4" borderId="5" applyNumberFormat="1" applyFont="1" applyFill="1" applyBorder="1" applyAlignment="1" applyProtection="0">
      <alignment horizontal="left" vertical="bottom"/>
    </xf>
    <xf numFmtId="49" fontId="5" fillId="4" borderId="5" applyNumberFormat="1" applyFont="1" applyFill="1" applyBorder="1" applyAlignment="1" applyProtection="0">
      <alignment horizontal="left" vertical="bottom"/>
    </xf>
    <xf numFmtId="0" fontId="0" borderId="7" applyNumberFormat="0" applyFont="1" applyFill="0" applyBorder="1" applyAlignment="1" applyProtection="0">
      <alignment vertical="bottom"/>
    </xf>
    <xf numFmtId="0" fontId="3" fillId="4" borderId="8" applyNumberFormat="0" applyFont="1" applyFill="1" applyBorder="1" applyAlignment="1" applyProtection="0">
      <alignment horizontal="left" vertical="bottom"/>
    </xf>
    <xf numFmtId="49" fontId="3" fillId="4" borderId="8" applyNumberFormat="1" applyFont="1" applyFill="1" applyBorder="1" applyAlignment="1" applyProtection="0">
      <alignment horizontal="left" vertical="bottom"/>
    </xf>
    <xf numFmtId="49" fontId="5" fillId="4" borderId="8" applyNumberFormat="1" applyFont="1" applyFill="1" applyBorder="1" applyAlignment="1" applyProtection="0">
      <alignment horizontal="lef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5" borderId="10" applyNumberFormat="1" applyFont="1" applyFill="1" applyBorder="1" applyAlignment="1" applyProtection="0">
      <alignment horizontal="center" vertical="bottom"/>
    </xf>
    <xf numFmtId="49" fontId="6" fillId="5" borderId="11" applyNumberFormat="1" applyFont="1" applyFill="1" applyBorder="1" applyAlignment="1" applyProtection="0">
      <alignment horizontal="center" vertical="bottom"/>
    </xf>
    <xf numFmtId="49" fontId="6" fillId="5" borderId="12" applyNumberFormat="1" applyFont="1" applyFill="1" applyBorder="1" applyAlignment="1" applyProtection="0">
      <alignment horizontal="center" vertical="bottom"/>
    </xf>
    <xf numFmtId="0" fontId="0" fillId="2" borderId="13" applyNumberFormat="0" applyFont="1" applyFill="1" applyBorder="1" applyAlignment="1" applyProtection="0">
      <alignment vertical="bottom"/>
    </xf>
    <xf numFmtId="49" fontId="0" fillId="6" borderId="10" applyNumberFormat="1" applyFont="1" applyFill="1" applyBorder="1" applyAlignment="1" applyProtection="0">
      <alignment vertical="bottom"/>
    </xf>
    <xf numFmtId="3" fontId="0" fillId="6" borderId="11" applyNumberFormat="1" applyFont="1" applyFill="1" applyBorder="1" applyAlignment="1" applyProtection="0">
      <alignment vertical="bottom"/>
    </xf>
    <xf numFmtId="10" fontId="0" fillId="6" borderId="11" applyNumberFormat="1" applyFont="1" applyFill="1" applyBorder="1" applyAlignment="1" applyProtection="0">
      <alignment vertical="bottom"/>
    </xf>
    <xf numFmtId="10" fontId="0" fillId="6" borderId="12" applyNumberFormat="1" applyFont="1" applyFill="1" applyBorder="1" applyAlignment="1" applyProtection="0">
      <alignment vertical="bottom"/>
    </xf>
    <xf numFmtId="0" fontId="0" fillId="2" borderId="14" applyNumberFormat="0" applyFont="1" applyFill="1" applyBorder="1" applyAlignment="1" applyProtection="0">
      <alignment vertical="bottom"/>
    </xf>
    <xf numFmtId="49" fontId="0" fillId="2" borderId="10" applyNumberFormat="1" applyFont="1" applyFill="1" applyBorder="1" applyAlignment="1" applyProtection="0">
      <alignment vertical="bottom"/>
    </xf>
    <xf numFmtId="3" fontId="0" fillId="2" borderId="11" applyNumberFormat="1" applyFont="1" applyFill="1" applyBorder="1" applyAlignment="1" applyProtection="0">
      <alignment vertical="bottom"/>
    </xf>
    <xf numFmtId="10" fontId="0" fillId="2" borderId="11" applyNumberFormat="1" applyFont="1" applyFill="1" applyBorder="1" applyAlignment="1" applyProtection="0">
      <alignment vertical="bottom"/>
    </xf>
    <xf numFmtId="10" fontId="0" fillId="2" borderId="12" applyNumberFormat="1" applyFont="1" applyFill="1" applyBorder="1" applyAlignment="1" applyProtection="0">
      <alignment vertical="bottom"/>
    </xf>
    <xf numFmtId="0" fontId="0" fillId="2" borderId="15" applyNumberFormat="0" applyFont="1" applyFill="1" applyBorder="1" applyAlignment="1" applyProtection="0">
      <alignment vertical="bottom"/>
    </xf>
    <xf numFmtId="0" fontId="0" fillId="2" borderId="16" applyNumberFormat="0" applyFont="1" applyFill="1" applyBorder="1" applyAlignment="1" applyProtection="0">
      <alignment vertical="bottom"/>
    </xf>
    <xf numFmtId="0" fontId="0" fillId="2" borderId="9" applyNumberFormat="0" applyFont="1" applyFill="1" applyBorder="1" applyAlignment="1" applyProtection="0">
      <alignment vertical="bottom"/>
    </xf>
    <xf numFmtId="0" fontId="0" applyNumberFormat="1" applyFont="1" applyFill="0" applyBorder="0" applyAlignment="1" applyProtection="0">
      <alignment vertical="bottom"/>
    </xf>
    <xf numFmtId="49" fontId="7" fillId="5" borderId="1" applyNumberFormat="1" applyFont="1" applyFill="1" applyBorder="1" applyAlignment="1" applyProtection="0">
      <alignment horizontal="center" vertical="bottom"/>
    </xf>
    <xf numFmtId="0" fontId="0" fillId="2" borderId="2" applyNumberFormat="0" applyFont="1" applyFill="1" applyBorder="1" applyAlignment="1" applyProtection="0">
      <alignment vertical="bottom"/>
    </xf>
    <xf numFmtId="0" fontId="0" fillId="2" borderId="3" applyNumberFormat="0" applyFont="1" applyFill="1" applyBorder="1" applyAlignment="1" applyProtection="0">
      <alignment vertical="bottom"/>
    </xf>
    <xf numFmtId="0" fontId="0" fillId="2" borderId="17" applyNumberFormat="0" applyFont="1" applyFill="1" applyBorder="1" applyAlignment="1" applyProtection="0">
      <alignment vertical="bottom"/>
    </xf>
    <xf numFmtId="0" fontId="8" fillId="2" borderId="4" applyNumberFormat="0" applyFont="1" applyFill="1" applyBorder="1" applyAlignment="1" applyProtection="0">
      <alignment horizontal="center" vertical="bottom"/>
    </xf>
    <xf numFmtId="0" fontId="0" fillId="2" borderId="5" applyNumberFormat="0" applyFont="1" applyFill="1" applyBorder="1" applyAlignment="1" applyProtection="0">
      <alignment vertical="bottom"/>
    </xf>
    <xf numFmtId="0" fontId="0" fillId="2" borderId="6" applyNumberFormat="0" applyFont="1" applyFill="1" applyBorder="1" applyAlignment="1" applyProtection="0">
      <alignment vertical="bottom"/>
    </xf>
    <xf numFmtId="0" fontId="0" fillId="2" borderId="18" applyNumberFormat="0" applyFont="1" applyFill="1" applyBorder="1" applyAlignment="1" applyProtection="0">
      <alignment vertical="bottom"/>
    </xf>
    <xf numFmtId="0" fontId="6" fillId="2" borderId="19" applyNumberFormat="0" applyFont="1" applyFill="1" applyBorder="1" applyAlignment="1" applyProtection="0">
      <alignment vertical="bottom"/>
    </xf>
    <xf numFmtId="0" fontId="6" fillId="2" borderId="20" applyNumberFormat="0" applyFont="1" applyFill="1" applyBorder="1" applyAlignment="1" applyProtection="0">
      <alignment vertical="bottom"/>
    </xf>
    <xf numFmtId="0" fontId="0" fillId="2" borderId="20" applyNumberFormat="0" applyFont="1" applyFill="1" applyBorder="1" applyAlignment="1" applyProtection="0">
      <alignment vertical="bottom"/>
    </xf>
    <xf numFmtId="0" fontId="0" fillId="2" borderId="21" applyNumberFormat="0" applyFont="1" applyFill="1" applyBorder="1" applyAlignment="1" applyProtection="0">
      <alignment vertical="bottom"/>
    </xf>
    <xf numFmtId="49" fontId="9" fillId="2" borderId="22" applyNumberFormat="1" applyFont="1" applyFill="1" applyBorder="1" applyAlignment="1" applyProtection="0">
      <alignment horizontal="center" vertical="bottom"/>
    </xf>
    <xf numFmtId="0" fontId="0" fillId="2" borderId="22" applyNumberFormat="0" applyFont="1" applyFill="1" applyBorder="1" applyAlignment="1" applyProtection="0">
      <alignment vertical="bottom"/>
    </xf>
    <xf numFmtId="0" fontId="0" fillId="2" borderId="23" applyNumberFormat="0" applyFont="1" applyFill="1" applyBorder="1" applyAlignment="1" applyProtection="0">
      <alignment vertical="bottom"/>
    </xf>
    <xf numFmtId="10" fontId="10" fillId="2" borderId="22" applyNumberFormat="1" applyFont="1" applyFill="1" applyBorder="1" applyAlignment="1" applyProtection="0">
      <alignment horizontal="center" vertical="center"/>
    </xf>
    <xf numFmtId="3" fontId="10" fillId="2" borderId="22" applyNumberFormat="1" applyFont="1" applyFill="1" applyBorder="1" applyAlignment="1" applyProtection="0">
      <alignment horizontal="center" vertical="center"/>
    </xf>
    <xf numFmtId="0" fontId="0" fillId="2" borderId="24" applyNumberFormat="0" applyFont="1" applyFill="1" applyBorder="1" applyAlignment="1" applyProtection="0">
      <alignment vertical="bottom"/>
    </xf>
    <xf numFmtId="0" fontId="0" fillId="2" borderId="25" applyNumberFormat="0" applyFont="1" applyFill="1" applyBorder="1" applyAlignment="1" applyProtection="0">
      <alignment vertical="bottom"/>
    </xf>
    <xf numFmtId="0" fontId="0" fillId="2" borderId="26" applyNumberFormat="0" applyFont="1" applyFill="1" applyBorder="1" applyAlignment="1" applyProtection="0">
      <alignment vertical="bottom"/>
    </xf>
    <xf numFmtId="0" fontId="0" fillId="2" borderId="1" applyNumberFormat="0" applyFont="1" applyFill="1" applyBorder="1" applyAlignment="1" applyProtection="0">
      <alignment vertical="bottom"/>
    </xf>
    <xf numFmtId="0" fontId="0" fillId="2" borderId="4" applyNumberFormat="0" applyFont="1" applyFill="1" applyBorder="1" applyAlignment="1" applyProtection="0">
      <alignment vertical="bottom"/>
    </xf>
    <xf numFmtId="0" fontId="0" fillId="2" borderId="7" applyNumberFormat="0" applyFont="1" applyFill="1" applyBorder="1" applyAlignment="1" applyProtection="0">
      <alignment vertical="bottom"/>
    </xf>
    <xf numFmtId="0" fontId="0" fillId="2" borderId="8" applyNumberFormat="0" applyFont="1" applyFill="1" applyBorder="1" applyAlignment="1" applyProtection="0">
      <alignment vertical="bottom"/>
    </xf>
    <xf numFmtId="0" fontId="0" applyNumberFormat="1" applyFont="1" applyFill="0" applyBorder="0" applyAlignment="1" applyProtection="0">
      <alignment vertical="bottom"/>
    </xf>
    <xf numFmtId="49" fontId="17" fillId="5" borderId="1" applyNumberFormat="1" applyFont="1" applyFill="1" applyBorder="1" applyAlignment="1" applyProtection="0">
      <alignment vertical="bottom"/>
    </xf>
    <xf numFmtId="49" fontId="6" fillId="7" borderId="4" applyNumberFormat="1" applyFont="1" applyFill="1" applyBorder="1" applyAlignment="1" applyProtection="0">
      <alignment vertical="bottom"/>
    </xf>
    <xf numFmtId="49" fontId="6" fillId="7" borderId="5" applyNumberFormat="1" applyFont="1" applyFill="1" applyBorder="1" applyAlignment="1" applyProtection="0">
      <alignment vertical="bottom"/>
    </xf>
    <xf numFmtId="49" fontId="0" fillId="2" borderId="4" applyNumberFormat="1" applyFont="1" applyFill="1" applyBorder="1" applyAlignment="1" applyProtection="0">
      <alignment vertical="bottom"/>
    </xf>
    <xf numFmtId="3" fontId="0" fillId="2" borderId="5" applyNumberFormat="1" applyFont="1" applyFill="1" applyBorder="1" applyAlignment="1" applyProtection="0">
      <alignment vertical="bottom"/>
    </xf>
    <xf numFmtId="49" fontId="0" fillId="2" borderId="5" applyNumberFormat="1" applyFont="1" applyFill="1" applyBorder="1" applyAlignment="1" applyProtection="0">
      <alignment vertical="bottom"/>
    </xf>
    <xf numFmtId="49" fontId="18" fillId="2" borderId="5" applyNumberFormat="1" applyFont="1" applyFill="1" applyBorder="1" applyAlignment="1" applyProtection="0">
      <alignment vertical="bottom"/>
    </xf>
    <xf numFmtId="10" fontId="0" fillId="2" borderId="5" applyNumberFormat="1" applyFont="1" applyFill="1" applyBorder="1" applyAlignment="1" applyProtection="0">
      <alignment vertical="bottom"/>
    </xf>
    <xf numFmtId="0" fontId="0" applyNumberFormat="1" applyFont="1" applyFill="0" applyBorder="0" applyAlignment="1" applyProtection="0">
      <alignment vertical="bottom"/>
    </xf>
    <xf numFmtId="0" fontId="17" fillId="5" borderId="3" applyNumberFormat="0" applyFont="1" applyFill="1" applyBorder="1" applyAlignment="1" applyProtection="0">
      <alignment vertical="bottom"/>
    </xf>
    <xf numFmtId="49" fontId="6" fillId="7" borderId="4" applyNumberFormat="1" applyFont="1" applyFill="1" applyBorder="1" applyAlignment="1" applyProtection="0">
      <alignment horizontal="center" vertical="bottom"/>
    </xf>
    <xf numFmtId="49" fontId="6" fillId="7" borderId="5" applyNumberFormat="1" applyFont="1" applyFill="1" applyBorder="1" applyAlignment="1" applyProtection="0">
      <alignment horizontal="center" vertical="bottom"/>
    </xf>
    <xf numFmtId="0" fontId="6" fillId="7" borderId="6" applyNumberFormat="0" applyFont="1" applyFill="1" applyBorder="1" applyAlignment="1" applyProtection="0">
      <alignment vertical="bottom"/>
    </xf>
    <xf numFmtId="0" fontId="0" fillId="2" borderId="4" applyNumberFormat="1" applyFont="1" applyFill="1" applyBorder="1" applyAlignment="1" applyProtection="0">
      <alignment vertical="bottom"/>
    </xf>
    <xf numFmtId="4" fontId="0" fillId="2" borderId="5" applyNumberFormat="1" applyFont="1" applyFill="1" applyBorder="1" applyAlignment="1" applyProtection="0">
      <alignment vertical="bottom"/>
    </xf>
    <xf numFmtId="4" fontId="0" fillId="2" borderId="6" applyNumberFormat="1" applyFont="1" applyFill="1" applyBorder="1" applyAlignment="1" applyProtection="0">
      <alignment vertical="bottom"/>
    </xf>
    <xf numFmtId="2" fontId="0" fillId="2" borderId="5" applyNumberFormat="1" applyFont="1" applyFill="1" applyBorder="1" applyAlignment="1" applyProtection="0">
      <alignment vertical="bottom"/>
    </xf>
    <xf numFmtId="2" fontId="0" fillId="2" borderId="6" applyNumberFormat="1" applyFont="1" applyFill="1" applyBorder="1" applyAlignment="1" applyProtection="0">
      <alignment vertical="bottom"/>
    </xf>
    <xf numFmtId="49" fontId="0" fillId="2" borderId="7" applyNumberFormat="1" applyFont="1" applyFill="1" applyBorder="1" applyAlignment="1" applyProtection="0">
      <alignment vertical="bottom"/>
    </xf>
    <xf numFmtId="49" fontId="0" fillId="2" borderId="8" applyNumberFormat="1" applyFont="1" applyFill="1" applyBorder="1" applyAlignment="1" applyProtection="0">
      <alignment vertical="bottom"/>
    </xf>
    <xf numFmtId="0" fontId="0" applyNumberFormat="1" applyFont="1" applyFill="0" applyBorder="0" applyAlignment="1" applyProtection="0">
      <alignment vertical="bottom"/>
    </xf>
    <xf numFmtId="49" fontId="17" fillId="5" borderId="1" applyNumberFormat="1" applyFont="1" applyFill="1" applyBorder="1" applyAlignment="1" applyProtection="0">
      <alignment horizontal="center" vertical="bottom"/>
    </xf>
    <xf numFmtId="49" fontId="6" fillId="5" borderId="4" applyNumberFormat="1" applyFont="1" applyFill="1" applyBorder="1" applyAlignment="1" applyProtection="0">
      <alignment vertical="bottom"/>
    </xf>
    <xf numFmtId="49" fontId="6" fillId="5" borderId="5" applyNumberFormat="1" applyFont="1" applyFill="1" applyBorder="1" applyAlignment="1" applyProtection="0">
      <alignment vertical="bottom"/>
    </xf>
    <xf numFmtId="49" fontId="9" fillId="2" borderId="4" applyNumberFormat="1" applyFont="1" applyFill="1" applyBorder="1" applyAlignment="1" applyProtection="0">
      <alignment vertical="top" wrapText="1"/>
    </xf>
    <xf numFmtId="49" fontId="0" fillId="2" borderId="5"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5e88b1"/>
      <rgbColor rgb="ffeef3f4"/>
      <rgbColor rgb="ff0000ff"/>
      <rgbColor rgb="ff17365d"/>
      <rgbColor rgb="ff95b3d7"/>
      <rgbColor rgb="fff7f9fb"/>
      <rgbColor rgb="ff666666"/>
      <rgbColor rgb="ffb7c9d6"/>
      <rgbColor rgb="ff1f1f1f"/>
      <rgbColor rgb="ff878787"/>
      <rgbColor rgb="ff4a7ebb"/>
      <rgbColor rgb="ff377e91"/>
      <rgbColor rgb="ff2f75b5"/>
      <rgbColor rgb="ffbe4b48"/>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800" u="none">
                <a:solidFill>
                  <a:srgbClr val="000000"/>
                </a:solidFill>
                <a:latin typeface="Calibri"/>
              </a:defRPr>
            </a:pPr>
            <a:r>
              <a:rPr b="0" i="0" strike="noStrike" sz="1800" u="none">
                <a:solidFill>
                  <a:srgbClr val="000000"/>
                </a:solidFill>
                <a:latin typeface="Calibri"/>
              </a:rPr>
              <a:t>Revenue Growth Trend</a:t>
            </a:r>
          </a:p>
        </c:rich>
      </c:tx>
      <c:layout>
        <c:manualLayout>
          <c:xMode val="edge"/>
          <c:yMode val="edge"/>
          <c:x val="0.284733"/>
          <c:y val="0"/>
          <c:w val="0.430535"/>
          <c:h val="0.182024"/>
        </c:manualLayout>
      </c:layout>
      <c:overlay val="1"/>
      <c:spPr>
        <a:noFill/>
        <a:effectLst/>
      </c:spPr>
    </c:title>
    <c:autoTitleDeleted val="1"/>
    <c:plotArea>
      <c:layout>
        <c:manualLayout>
          <c:layoutTarget val="inner"/>
          <c:xMode val="edge"/>
          <c:yMode val="edge"/>
          <c:x val="0.115188"/>
          <c:y val="0.182024"/>
          <c:w val="0.785801"/>
          <c:h val="0.666631"/>
        </c:manualLayout>
      </c:layout>
      <c:lineChart>
        <c:grouping val="standard"/>
        <c:varyColors val="0"/>
        <c:ser>
          <c:idx val="0"/>
          <c:order val="0"/>
          <c:tx>
            <c:strRef>
              <c:f>'Raw Data'!$E$1</c:f>
              <c:strCache>
                <c:ptCount val="1"/>
                <c:pt idx="0">
                  <c:v>Revenue Growth %</c:v>
                </c:pt>
              </c:strCache>
            </c:strRef>
          </c:tx>
          <c:spPr>
            <a:noFill/>
            <a:ln w="47625" cap="flat">
              <a:solidFill>
                <a:srgbClr val="4A7EBB"/>
              </a:solidFill>
              <a:prstDash val="solid"/>
              <a:round/>
            </a:ln>
            <a:effectLst/>
          </c:spPr>
          <c:marker>
            <c:symbol val="none"/>
            <c:size val="6"/>
            <c:spPr>
              <a:noFill/>
              <a:ln w="47625" cap="flat">
                <a:solidFill>
                  <a:srgbClr val="4A7EBB"/>
                </a:solidFill>
                <a:prstDash val="solid"/>
                <a:round/>
              </a:ln>
              <a:effectLst/>
            </c:spPr>
          </c:marker>
          <c:dLbls>
            <c:numFmt formatCode="0.00%" sourceLinked="0"/>
            <c:txPr>
              <a:bodyPr/>
              <a:lstStyle/>
              <a:p>
                <a:pPr>
                  <a:defRPr b="0" i="0" strike="noStrike" sz="1000" u="none">
                    <a:solidFill>
                      <a:srgbClr val="000000"/>
                    </a:solidFill>
                    <a:latin typeface="Helvetica Neue"/>
                  </a:defRPr>
                </a:pPr>
              </a:p>
            </c:txPr>
            <c:dLblPos val="t"/>
            <c:showLegendKey val="0"/>
            <c:showVal val="0"/>
            <c:showCatName val="0"/>
            <c:showSerName val="0"/>
            <c:showPercent val="0"/>
            <c:showBubbleSize val="0"/>
            <c:showLeaderLines val="0"/>
          </c:dLbls>
          <c:cat>
            <c:strRef>
              <c:f>'Raw Data'!$A$2:$A$11</c:f>
              <c:strCache>
                <c:ptCount val="10"/>
                <c:pt idx="0">
                  <c:v>FY2016-17</c:v>
                </c:pt>
                <c:pt idx="1">
                  <c:v>FY2017-18</c:v>
                </c:pt>
                <c:pt idx="2">
                  <c:v>FY2018-19</c:v>
                </c:pt>
                <c:pt idx="3">
                  <c:v>FY2019-20</c:v>
                </c:pt>
                <c:pt idx="4">
                  <c:v>FY2020-21</c:v>
                </c:pt>
                <c:pt idx="5">
                  <c:v>FY2021-22</c:v>
                </c:pt>
                <c:pt idx="6">
                  <c:v>FY2022-23</c:v>
                </c:pt>
                <c:pt idx="7">
                  <c:v>FY2023-24</c:v>
                </c:pt>
                <c:pt idx="8">
                  <c:v>FY2024-25</c:v>
                </c:pt>
                <c:pt idx="9">
                  <c:v>FY2025-26</c:v>
                </c:pt>
              </c:strCache>
            </c:strRef>
          </c:cat>
          <c:val>
            <c:numRef>
              <c:f>'Raw Data'!$E$2:$E$11</c:f>
              <c:numCache>
                <c:ptCount val="9"/>
                <c:pt idx="1">
                  <c:v>0.133074</c:v>
                </c:pt>
                <c:pt idx="2">
                  <c:v>0.189750</c:v>
                </c:pt>
                <c:pt idx="3">
                  <c:v>0.071595</c:v>
                </c:pt>
                <c:pt idx="4">
                  <c:v>0.046053</c:v>
                </c:pt>
                <c:pt idx="5">
                  <c:v>0.167971</c:v>
                </c:pt>
                <c:pt idx="6">
                  <c:v>0.175767</c:v>
                </c:pt>
                <c:pt idx="7">
                  <c:v>0.068461</c:v>
                </c:pt>
                <c:pt idx="8">
                  <c:v>0.059906</c:v>
                </c:pt>
                <c:pt idx="9">
                  <c:v>0.045812</c:v>
                </c:pt>
              </c:numCache>
            </c:numRef>
          </c:val>
          <c:smooth val="0"/>
        </c:ser>
        <c:marker val="1"/>
        <c:axId val="2094734552"/>
        <c:axId val="2094734553"/>
      </c:lineChart>
      <c:catAx>
        <c:axId val="2094734552"/>
        <c:scaling>
          <c:orientation val="minMax"/>
        </c:scaling>
        <c:delete val="0"/>
        <c:axPos val="b"/>
        <c:numFmt formatCode="General" sourceLinked="1"/>
        <c:majorTickMark val="out"/>
        <c:minorTickMark val="none"/>
        <c:tickLblPos val="low"/>
        <c:spPr>
          <a:ln w="12700" cap="flat">
            <a:solidFill>
              <a:srgbClr val="888888"/>
            </a:solidFill>
            <a:prstDash val="solid"/>
            <a:round/>
          </a:ln>
        </c:spPr>
        <c:txPr>
          <a:bodyPr rot="0"/>
          <a:lstStyle/>
          <a:p>
            <a:pPr>
              <a:defRPr b="0" i="0" strike="noStrike" sz="18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title>
          <c:tx>
            <c:rich>
              <a:bodyPr rot="-5400000"/>
              <a:lstStyle/>
              <a:p>
                <a:pPr>
                  <a:defRPr b="0" i="0" strike="noStrike" sz="1800" u="none">
                    <a:solidFill>
                      <a:srgbClr val="000000"/>
                    </a:solidFill>
                    <a:latin typeface="Calibri"/>
                  </a:defRPr>
                </a:pPr>
                <a:r>
                  <a:rPr b="0" i="0" strike="noStrike" sz="1800" u="none">
                    <a:solidFill>
                      <a:srgbClr val="000000"/>
                    </a:solidFill>
                    <a:latin typeface="Calibri"/>
                  </a:rPr>
                  <a:t>Revenue Growth %</a:t>
                </a:r>
              </a:p>
            </c:rich>
          </c:tx>
          <c:layout/>
          <c:overlay val="1"/>
        </c:title>
        <c:numFmt formatCode="0.00%" sourceLinked="0"/>
        <c:majorTickMark val="out"/>
        <c:minorTickMark val="none"/>
        <c:tickLblPos val="none"/>
        <c:spPr>
          <a:ln w="12700" cap="flat">
            <a:solidFill>
              <a:srgbClr val="888888"/>
            </a:solidFill>
            <a:prstDash val="solid"/>
            <a:round/>
          </a:ln>
        </c:spPr>
        <c:txPr>
          <a:bodyPr rot="0"/>
          <a:lstStyle/>
          <a:p>
            <a:pPr>
              <a:defRPr b="0" i="0" strike="noStrike" sz="1800" u="none">
                <a:solidFill>
                  <a:srgbClr val="000000"/>
                </a:solidFill>
                <a:latin typeface="Calibri"/>
              </a:defRPr>
            </a:pPr>
          </a:p>
        </c:txPr>
        <c:crossAx val="2094734552"/>
        <c:crosses val="autoZero"/>
        <c:crossBetween val="midCat"/>
        <c:majorUnit val="0.05"/>
        <c:minorUnit val="0.025"/>
      </c:valAx>
      <c:spPr>
        <a:solidFill>
          <a:srgbClr val="FFFFFF"/>
        </a:solidFill>
        <a:ln w="12700" cap="flat">
          <a:solidFill>
            <a:srgbClr val="888888"/>
          </a:solidFill>
          <a:prstDash val="solid"/>
          <a:round/>
        </a:ln>
        <a:effectLst/>
      </c:spPr>
    </c:plotArea>
    <c:plotVisOnly val="1"/>
    <c:dispBlanksAs val="gap"/>
  </c:chart>
  <c:spPr>
    <a:solidFill>
      <a:srgbClr val="FFFFFF"/>
    </a:solidFill>
    <a:ln w="12700" cap="flat">
      <a:solidFill>
        <a:srgbClr val="888888"/>
      </a:solidFill>
      <a:prstDash val="solid"/>
      <a:round/>
    </a:ln>
    <a:effectLst/>
  </c:spPr>
</c:chartSpace>
</file>

<file path=xl/charts/chart2.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800" u="none">
                <a:solidFill>
                  <a:srgbClr val="000000"/>
                </a:solidFill>
                <a:latin typeface="Calibri"/>
              </a:defRPr>
            </a:pPr>
            <a:r>
              <a:rPr b="0" i="0" strike="noStrike" sz="1800" u="none">
                <a:solidFill>
                  <a:srgbClr val="000000"/>
                </a:solidFill>
                <a:latin typeface="Calibri"/>
              </a:rPr>
              <a:t>Profit Margin Trend</a:t>
            </a:r>
          </a:p>
        </c:rich>
      </c:tx>
      <c:layout>
        <c:manualLayout>
          <c:xMode val="edge"/>
          <c:yMode val="edge"/>
          <c:x val="0.317734"/>
          <c:y val="0"/>
          <c:w val="0.364533"/>
          <c:h val="0.182024"/>
        </c:manualLayout>
      </c:layout>
      <c:overlay val="1"/>
      <c:spPr>
        <a:noFill/>
        <a:effectLst/>
      </c:spPr>
    </c:title>
    <c:autoTitleDeleted val="1"/>
    <c:plotArea>
      <c:layout>
        <c:manualLayout>
          <c:layoutTarget val="inner"/>
          <c:xMode val="edge"/>
          <c:yMode val="edge"/>
          <c:x val="0.115188"/>
          <c:y val="0.182024"/>
          <c:w val="0.785801"/>
          <c:h val="0.666631"/>
        </c:manualLayout>
      </c:layout>
      <c:lineChart>
        <c:grouping val="standard"/>
        <c:varyColors val="0"/>
        <c:ser>
          <c:idx val="0"/>
          <c:order val="0"/>
          <c:tx>
            <c:strRef>
              <c:f>'Raw Data'!$F$1</c:f>
              <c:strCache>
                <c:ptCount val="1"/>
                <c:pt idx="0">
                  <c:v>Profit Margin %</c:v>
                </c:pt>
              </c:strCache>
            </c:strRef>
          </c:tx>
          <c:spPr>
            <a:noFill/>
            <a:ln w="47625" cap="flat">
              <a:solidFill>
                <a:srgbClr val="377E91"/>
              </a:solidFill>
              <a:prstDash val="solid"/>
              <a:round/>
            </a:ln>
            <a:effectLst/>
          </c:spPr>
          <c:marker>
            <c:symbol val="none"/>
            <c:size val="6"/>
            <c:spPr>
              <a:noFill/>
              <a:ln w="47625" cap="flat">
                <a:solidFill>
                  <a:srgbClr val="377E91"/>
                </a:solidFill>
                <a:prstDash val="solid"/>
                <a:round/>
              </a:ln>
              <a:effectLst/>
            </c:spPr>
          </c:marker>
          <c:dLbls>
            <c:numFmt formatCode="0.00%" sourceLinked="0"/>
            <c:txPr>
              <a:bodyPr/>
              <a:lstStyle/>
              <a:p>
                <a:pPr>
                  <a:defRPr b="0" i="0" strike="noStrike" sz="1000" u="none">
                    <a:solidFill>
                      <a:srgbClr val="000000"/>
                    </a:solidFill>
                    <a:latin typeface="Helvetica Neue"/>
                  </a:defRPr>
                </a:pPr>
              </a:p>
            </c:txPr>
            <c:dLblPos val="t"/>
            <c:showLegendKey val="0"/>
            <c:showVal val="0"/>
            <c:showCatName val="0"/>
            <c:showSerName val="0"/>
            <c:showPercent val="0"/>
            <c:showBubbleSize val="0"/>
            <c:showLeaderLines val="0"/>
          </c:dLbls>
          <c:cat>
            <c:strRef>
              <c:f>'Raw Data'!$A$2:$A$11</c:f>
              <c:strCache>
                <c:ptCount val="10"/>
                <c:pt idx="0">
                  <c:v>FY2016-17</c:v>
                </c:pt>
                <c:pt idx="1">
                  <c:v>FY2017-18</c:v>
                </c:pt>
                <c:pt idx="2">
                  <c:v>FY2018-19</c:v>
                </c:pt>
                <c:pt idx="3">
                  <c:v>FY2019-20</c:v>
                </c:pt>
                <c:pt idx="4">
                  <c:v>FY2020-21</c:v>
                </c:pt>
                <c:pt idx="5">
                  <c:v>FY2021-22</c:v>
                </c:pt>
                <c:pt idx="6">
                  <c:v>FY2022-23</c:v>
                </c:pt>
                <c:pt idx="7">
                  <c:v>FY2023-24</c:v>
                </c:pt>
                <c:pt idx="8">
                  <c:v>FY2024-25</c:v>
                </c:pt>
                <c:pt idx="9">
                  <c:v>FY2025-26</c:v>
                </c:pt>
              </c:strCache>
            </c:strRef>
          </c:cat>
          <c:val>
            <c:numRef>
              <c:f>'Raw Data'!$F$2:$F$11</c:f>
              <c:numCache>
                <c:ptCount val="10"/>
                <c:pt idx="0">
                  <c:v>0.246222</c:v>
                </c:pt>
                <c:pt idx="1">
                  <c:v>0.203690</c:v>
                </c:pt>
                <c:pt idx="2">
                  <c:v>0.214880</c:v>
                </c:pt>
                <c:pt idx="3">
                  <c:v>0.206054</c:v>
                </c:pt>
                <c:pt idx="4">
                  <c:v>0.197531</c:v>
                </c:pt>
                <c:pt idx="5">
                  <c:v>0.199876</c:v>
                </c:pt>
                <c:pt idx="6">
                  <c:v>0.187631</c:v>
                </c:pt>
                <c:pt idx="7">
                  <c:v>0.193385</c:v>
                </c:pt>
                <c:pt idx="8">
                  <c:v>0.190162</c:v>
                </c:pt>
                <c:pt idx="9">
                  <c:v>0.184293</c:v>
                </c:pt>
              </c:numCache>
            </c:numRef>
          </c:val>
          <c:smooth val="0"/>
        </c:ser>
        <c:marker val="1"/>
        <c:axId val="2094734552"/>
        <c:axId val="2094734553"/>
      </c:lineChart>
      <c:catAx>
        <c:axId val="2094734552"/>
        <c:scaling>
          <c:orientation val="minMax"/>
        </c:scaling>
        <c:delete val="0"/>
        <c:axPos val="b"/>
        <c:numFmt formatCode="General" sourceLinked="1"/>
        <c:majorTickMark val="out"/>
        <c:minorTickMark val="none"/>
        <c:tickLblPos val="low"/>
        <c:spPr>
          <a:ln w="12700" cap="flat">
            <a:solidFill>
              <a:srgbClr val="888888"/>
            </a:solidFill>
            <a:prstDash val="solid"/>
            <a:round/>
          </a:ln>
        </c:spPr>
        <c:txPr>
          <a:bodyPr rot="0"/>
          <a:lstStyle/>
          <a:p>
            <a:pPr>
              <a:defRPr b="0" i="0" strike="noStrike" sz="18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title>
          <c:tx>
            <c:rich>
              <a:bodyPr rot="-5400000"/>
              <a:lstStyle/>
              <a:p>
                <a:pPr>
                  <a:defRPr b="0" i="0" strike="noStrike" sz="1800" u="none">
                    <a:solidFill>
                      <a:srgbClr val="000000"/>
                    </a:solidFill>
                    <a:latin typeface="Calibri"/>
                  </a:defRPr>
                </a:pPr>
                <a:r>
                  <a:rPr b="0" i="0" strike="noStrike" sz="1800" u="none">
                    <a:solidFill>
                      <a:srgbClr val="000000"/>
                    </a:solidFill>
                    <a:latin typeface="Calibri"/>
                  </a:rPr>
                  <a:t>Profit Margin %</a:t>
                </a:r>
              </a:p>
            </c:rich>
          </c:tx>
          <c:layout/>
          <c:overlay val="1"/>
        </c:title>
        <c:numFmt formatCode="0.00%" sourceLinked="0"/>
        <c:majorTickMark val="out"/>
        <c:minorTickMark val="none"/>
        <c:tickLblPos val="none"/>
        <c:spPr>
          <a:ln w="12700" cap="flat">
            <a:solidFill>
              <a:srgbClr val="888888"/>
            </a:solidFill>
            <a:prstDash val="solid"/>
            <a:round/>
          </a:ln>
        </c:spPr>
        <c:txPr>
          <a:bodyPr rot="0"/>
          <a:lstStyle/>
          <a:p>
            <a:pPr>
              <a:defRPr b="0" i="0" strike="noStrike" sz="1800" u="none">
                <a:solidFill>
                  <a:srgbClr val="000000"/>
                </a:solidFill>
                <a:latin typeface="Calibri"/>
              </a:defRPr>
            </a:pPr>
          </a:p>
        </c:txPr>
        <c:crossAx val="2094734552"/>
        <c:crosses val="autoZero"/>
        <c:crossBetween val="midCat"/>
        <c:majorUnit val="0.0625"/>
        <c:minorUnit val="0.03125"/>
      </c:valAx>
      <c:spPr>
        <a:solidFill>
          <a:srgbClr val="FFFFFF"/>
        </a:solidFill>
        <a:ln w="12700" cap="flat">
          <a:solidFill>
            <a:srgbClr val="888888"/>
          </a:solidFill>
          <a:prstDash val="solid"/>
          <a:round/>
        </a:ln>
        <a:effectLst/>
      </c:spPr>
    </c:plotArea>
    <c:plotVisOnly val="1"/>
    <c:dispBlanksAs val="gap"/>
  </c:chart>
  <c:spPr>
    <a:solidFill>
      <a:srgbClr val="FFFFFF"/>
    </a:solidFill>
    <a:ln w="12700" cap="flat">
      <a:solidFill>
        <a:srgbClr val="888888"/>
      </a:solidFill>
      <a:prstDash val="solid"/>
      <a:round/>
    </a:ln>
    <a:effectLst/>
  </c:spPr>
</c:chartSpace>
</file>

<file path=xl/charts/chart3.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800" u="none">
                <a:solidFill>
                  <a:srgbClr val="000000"/>
                </a:solidFill>
                <a:latin typeface="Calibri"/>
              </a:defRPr>
            </a:pPr>
            <a:r>
              <a:rPr b="1" i="0" strike="noStrike" sz="1800" u="none">
                <a:solidFill>
                  <a:srgbClr val="000000"/>
                </a:solidFill>
                <a:latin typeface="Calibri"/>
              </a:rPr>
              <a:t>Operating Cash Flow Trend</a:t>
            </a:r>
          </a:p>
        </c:rich>
      </c:tx>
      <c:layout>
        <c:manualLayout>
          <c:xMode val="edge"/>
          <c:yMode val="edge"/>
          <c:x val="0.240396"/>
          <c:y val="0"/>
          <c:w val="0.519207"/>
          <c:h val="0.182024"/>
        </c:manualLayout>
      </c:layout>
      <c:overlay val="1"/>
      <c:spPr>
        <a:noFill/>
        <a:effectLst/>
      </c:spPr>
    </c:title>
    <c:autoTitleDeleted val="1"/>
    <c:plotArea>
      <c:layout>
        <c:manualLayout>
          <c:layoutTarget val="inner"/>
          <c:xMode val="edge"/>
          <c:yMode val="edge"/>
          <c:x val="0.100639"/>
          <c:y val="0.182024"/>
          <c:w val="0.798721"/>
          <c:h val="0.666631"/>
        </c:manualLayout>
      </c:layout>
      <c:areaChart>
        <c:grouping val="standard"/>
        <c:varyColors val="0"/>
        <c:ser>
          <c:idx val="0"/>
          <c:order val="0"/>
          <c:tx>
            <c:strRef>
              <c:f>'Raw Data'!$D$1</c:f>
              <c:strCache>
                <c:ptCount val="1"/>
                <c:pt idx="0">
                  <c:v>Operating Cash Flow (₹ Cr)</c:v>
                </c:pt>
              </c:strCache>
            </c:strRef>
          </c:tx>
          <c:spPr>
            <a:solidFill>
              <a:schemeClr val="accent3"/>
            </a:solidFill>
            <a:ln w="47625" cap="flat">
              <a:solidFill>
                <a:schemeClr val="accent3"/>
              </a:solidFill>
              <a:prstDash val="solid"/>
              <a:round/>
            </a:ln>
            <a:effectLst/>
          </c:spPr>
          <c:dLbls>
            <c:numFmt formatCode="#,##0" sourceLinked="0"/>
            <c:txPr>
              <a:bodyPr/>
              <a:lstStyle/>
              <a:p>
                <a:pPr>
                  <a:defRPr b="0" i="0" strike="noStrike" sz="1000" u="none">
                    <a:solidFill>
                      <a:srgbClr val="000000"/>
                    </a:solidFill>
                    <a:latin typeface="Helvetica Neue"/>
                  </a:defRPr>
                </a:pPr>
              </a:p>
            </c:txPr>
            <c:showLegendKey val="0"/>
            <c:showVal val="0"/>
            <c:showCatName val="0"/>
            <c:showSerName val="0"/>
            <c:showPercent val="0"/>
            <c:showBubbleSize val="0"/>
            <c:showLeaderLines val="0"/>
          </c:dLbls>
          <c:cat>
            <c:strRef>
              <c:f>'Raw Data'!$A$2:$A$11</c:f>
              <c:strCache>
                <c:ptCount val="10"/>
                <c:pt idx="0">
                  <c:v>FY2016-17</c:v>
                </c:pt>
                <c:pt idx="1">
                  <c:v>FY2017-18</c:v>
                </c:pt>
                <c:pt idx="2">
                  <c:v>FY2018-19</c:v>
                </c:pt>
                <c:pt idx="3">
                  <c:v>FY2019-20</c:v>
                </c:pt>
                <c:pt idx="4">
                  <c:v>FY2020-21</c:v>
                </c:pt>
                <c:pt idx="5">
                  <c:v>FY2021-22</c:v>
                </c:pt>
                <c:pt idx="6">
                  <c:v>FY2022-23</c:v>
                </c:pt>
                <c:pt idx="7">
                  <c:v>FY2023-24</c:v>
                </c:pt>
                <c:pt idx="8">
                  <c:v>FY2024-25</c:v>
                </c:pt>
                <c:pt idx="9">
                  <c:v>FY2025-26</c:v>
                </c:pt>
              </c:strCache>
            </c:strRef>
          </c:cat>
          <c:val>
            <c:numRef>
              <c:f>'Raw Data'!$D$2:$D$11</c:f>
              <c:numCache>
                <c:ptCount val="10"/>
                <c:pt idx="0">
                  <c:v>24464.000000</c:v>
                </c:pt>
                <c:pt idx="1">
                  <c:v>27890.000000</c:v>
                </c:pt>
                <c:pt idx="2">
                  <c:v>32649.000000</c:v>
                </c:pt>
                <c:pt idx="3">
                  <c:v>33588.000000</c:v>
                </c:pt>
                <c:pt idx="4">
                  <c:v>41035.000000</c:v>
                </c:pt>
                <c:pt idx="5">
                  <c:v>39889.000000</c:v>
                </c:pt>
                <c:pt idx="6">
                  <c:v>44963.000000</c:v>
                </c:pt>
                <c:pt idx="7">
                  <c:v>49099.000000</c:v>
                </c:pt>
                <c:pt idx="8">
                  <c:v>48908.000000</c:v>
                </c:pt>
                <c:pt idx="9">
                  <c:v>52094.000000</c:v>
                </c:pt>
              </c:numCache>
            </c:numRef>
          </c:val>
        </c:ser>
        <c:axId val="2094734552"/>
        <c:axId val="2094734553"/>
      </c:areaChart>
      <c:catAx>
        <c:axId val="2094734552"/>
        <c:scaling>
          <c:orientation val="minMax"/>
        </c:scaling>
        <c:delete val="0"/>
        <c:axPos val="b"/>
        <c:numFmt formatCode="General" sourceLinked="1"/>
        <c:majorTickMark val="out"/>
        <c:minorTickMark val="none"/>
        <c:tickLblPos val="low"/>
        <c:spPr>
          <a:ln w="12700" cap="flat">
            <a:solidFill>
              <a:srgbClr val="888888"/>
            </a:solidFill>
            <a:prstDash val="solid"/>
            <a:round/>
          </a:ln>
        </c:spPr>
        <c:txPr>
          <a:bodyPr rot="0"/>
          <a:lstStyle/>
          <a:p>
            <a:pPr>
              <a:defRPr b="0" i="0" strike="noStrike" sz="18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title>
          <c:tx>
            <c:rich>
              <a:bodyPr rot="-5400000"/>
              <a:lstStyle/>
              <a:p>
                <a:pPr>
                  <a:defRPr b="1" i="0" strike="noStrike" sz="1000" u="none">
                    <a:solidFill>
                      <a:srgbClr val="000000"/>
                    </a:solidFill>
                    <a:latin typeface="Calibri"/>
                  </a:defRPr>
                </a:pPr>
                <a:r>
                  <a:rPr b="1" i="0" strike="noStrike" sz="1000" u="none">
                    <a:solidFill>
                      <a:srgbClr val="000000"/>
                    </a:solidFill>
                    <a:latin typeface="Calibri"/>
                  </a:rPr>
                  <a:t>Operating Cash Flow (₹ Cr)</a:t>
                </a:r>
              </a:p>
            </c:rich>
          </c:tx>
          <c:layout/>
          <c:overlay val="1"/>
        </c:title>
        <c:numFmt formatCode="#,##0" sourceLinked="0"/>
        <c:majorTickMark val="none"/>
        <c:minorTickMark val="none"/>
        <c:tickLblPos val="none"/>
        <c:spPr>
          <a:ln w="12700" cap="flat">
            <a:noFill/>
            <a:prstDash val="solid"/>
            <a:round/>
          </a:ln>
        </c:spPr>
        <c:txPr>
          <a:bodyPr rot="0"/>
          <a:lstStyle/>
          <a:p>
            <a:pPr>
              <a:defRPr b="0" i="0" strike="noStrike" sz="1000" u="none">
                <a:solidFill>
                  <a:srgbClr val="000000"/>
                </a:solidFill>
                <a:latin typeface="Calibri"/>
              </a:defRPr>
            </a:pPr>
          </a:p>
        </c:txPr>
        <c:crossAx val="2094734552"/>
        <c:crosses val="autoZero"/>
        <c:crossBetween val="midCat"/>
        <c:majorUnit val="15000"/>
        <c:minorUnit val="7500"/>
      </c:valAx>
      <c:spPr>
        <a:solidFill>
          <a:srgbClr val="FFFFFF"/>
        </a:solidFill>
        <a:ln w="12700" cap="flat">
          <a:solidFill>
            <a:srgbClr val="888888"/>
          </a:solidFill>
          <a:prstDash val="solid"/>
          <a:round/>
        </a:ln>
        <a:effectLst/>
      </c:spPr>
    </c:plotArea>
    <c:plotVisOnly val="1"/>
    <c:dispBlanksAs val="gap"/>
  </c:chart>
  <c:spPr>
    <a:solidFill>
      <a:srgbClr val="FFFFFF"/>
    </a:solidFill>
    <a:ln w="12700" cap="flat">
      <a:solidFill>
        <a:srgbClr val="888888"/>
      </a:solidFill>
      <a:prstDash val="solid"/>
      <a:round/>
    </a:ln>
    <a:effectLst/>
  </c:spPr>
</c:chartSpace>
</file>

<file path=xl/charts/chart4.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944977"/>
          <c:y val="0.109912"/>
          <c:w val="0.857987"/>
          <c:h val="0.821375"/>
        </c:manualLayout>
      </c:layout>
      <c:lineChart>
        <c:grouping val="standard"/>
        <c:varyColors val="0"/>
        <c:ser>
          <c:idx val="0"/>
          <c:order val="0"/>
          <c:tx>
            <c:v>Actual Revenue</c:v>
          </c:tx>
          <c:spPr>
            <a:solidFill>
              <a:schemeClr val="accent1"/>
            </a:solidFill>
            <a:ln w="47625" cap="flat">
              <a:solidFill>
                <a:srgbClr val="4A7EBB"/>
              </a:solidFill>
              <a:prstDash val="solid"/>
              <a:round/>
            </a:ln>
            <a:effectLst/>
          </c:spPr>
          <c:marker>
            <c:symbol val="circle"/>
            <c:size val="9"/>
            <c:spPr>
              <a:solidFill>
                <a:schemeClr val="accent1"/>
              </a:solidFill>
              <a:ln w="9525" cap="flat">
                <a:solidFill>
                  <a:srgbClr val="4A7EBB"/>
                </a:solidFill>
                <a:prstDash val="solid"/>
                <a:round/>
              </a:ln>
              <a:effectLst/>
            </c:spPr>
          </c:marker>
          <c:dLbls>
            <c:numFmt formatCode="#,##0" sourceLinked="1"/>
            <c:txPr>
              <a:bodyPr/>
              <a:lstStyle/>
              <a:p>
                <a:pPr>
                  <a:defRPr b="0" i="0" strike="noStrike" sz="1800" u="none">
                    <a:solidFill>
                      <a:srgbClr val="000000"/>
                    </a:solidFill>
                    <a:latin typeface="Helvetica Neue"/>
                  </a:defRPr>
                </a:pPr>
              </a:p>
            </c:txPr>
            <c:dLblPos val="t"/>
            <c:showLegendKey val="0"/>
            <c:showVal val="0"/>
            <c:showCatName val="0"/>
            <c:showSerName val="0"/>
            <c:showPercent val="0"/>
            <c:showBubbleSize val="0"/>
            <c:showLeaderLines val="0"/>
          </c:dLbls>
          <c:cat>
            <c:strRef>
              <c:f>'Regression'!$B$3:$B$13</c:f>
              <c:strCache>
                <c:ptCount val="11"/>
                <c:pt idx="0">
                  <c:v>Financial Year</c:v>
                </c:pt>
                <c:pt idx="1">
                  <c:v>FY2016-17</c:v>
                </c:pt>
                <c:pt idx="2">
                  <c:v>FY2017-18</c:v>
                </c:pt>
                <c:pt idx="3">
                  <c:v>FY2018-19</c:v>
                </c:pt>
                <c:pt idx="4">
                  <c:v>FY2019-20</c:v>
                </c:pt>
                <c:pt idx="5">
                  <c:v>FY2020-21</c:v>
                </c:pt>
                <c:pt idx="6">
                  <c:v>FY2021-22</c:v>
                </c:pt>
                <c:pt idx="7">
                  <c:v>FY2022-23</c:v>
                </c:pt>
                <c:pt idx="8">
                  <c:v>FY2023-24</c:v>
                </c:pt>
                <c:pt idx="9">
                  <c:v>FY2024-25</c:v>
                </c:pt>
                <c:pt idx="10">
                  <c:v>FY2025-26</c:v>
                </c:pt>
              </c:strCache>
            </c:strRef>
          </c:cat>
          <c:val>
            <c:numRef>
              <c:f>'Regression'!$C$3:$C$13</c:f>
              <c:numCache>
                <c:ptCount val="10"/>
                <c:pt idx="1">
                  <c:v>108646.000000</c:v>
                </c:pt>
                <c:pt idx="2">
                  <c:v>123104.000000</c:v>
                </c:pt>
                <c:pt idx="3">
                  <c:v>146463.000000</c:v>
                </c:pt>
                <c:pt idx="4">
                  <c:v>156949.000000</c:v>
                </c:pt>
                <c:pt idx="5">
                  <c:v>164177.000000</c:v>
                </c:pt>
                <c:pt idx="6">
                  <c:v>191754.000000</c:v>
                </c:pt>
                <c:pt idx="7">
                  <c:v>225458.000000</c:v>
                </c:pt>
                <c:pt idx="8">
                  <c:v>240893.000000</c:v>
                </c:pt>
                <c:pt idx="9">
                  <c:v>255324.000000</c:v>
                </c:pt>
                <c:pt idx="10">
                  <c:v>267021.000000</c:v>
                </c:pt>
              </c:numCache>
            </c:numRef>
          </c:val>
          <c:smooth val="0"/>
        </c:ser>
        <c:ser>
          <c:idx val="1"/>
          <c:order val="1"/>
          <c:tx>
            <c:v>Predicted Revenue</c:v>
          </c:tx>
          <c:spPr>
            <a:solidFill>
              <a:schemeClr val="accent2"/>
            </a:solidFill>
            <a:ln w="47625" cap="flat">
              <a:solidFill>
                <a:srgbClr val="BE4B48"/>
              </a:solidFill>
              <a:prstDash val="solid"/>
              <a:round/>
            </a:ln>
            <a:effectLst/>
          </c:spPr>
          <c:marker>
            <c:symbol val="circle"/>
            <c:size val="9"/>
            <c:spPr>
              <a:solidFill>
                <a:schemeClr val="accent2"/>
              </a:solidFill>
              <a:ln w="9525" cap="flat">
                <a:solidFill>
                  <a:srgbClr val="BE4B48"/>
                </a:solidFill>
                <a:prstDash val="solid"/>
                <a:round/>
              </a:ln>
              <a:effectLst/>
            </c:spPr>
          </c:marker>
          <c:dLbls>
            <c:numFmt formatCode="#,##0" sourceLinked="1"/>
            <c:txPr>
              <a:bodyPr/>
              <a:lstStyle/>
              <a:p>
                <a:pPr>
                  <a:defRPr b="0" i="0" strike="noStrike" sz="1800" u="none">
                    <a:solidFill>
                      <a:srgbClr val="000000"/>
                    </a:solidFill>
                    <a:latin typeface="Helvetica Neue"/>
                  </a:defRPr>
                </a:pPr>
              </a:p>
            </c:txPr>
            <c:dLblPos val="t"/>
            <c:showLegendKey val="0"/>
            <c:showVal val="0"/>
            <c:showCatName val="0"/>
            <c:showSerName val="0"/>
            <c:showPercent val="0"/>
            <c:showBubbleSize val="0"/>
            <c:showLeaderLines val="0"/>
          </c:dLbls>
          <c:cat>
            <c:strRef>
              <c:f>'Regression'!$B$3:$B$13</c:f>
              <c:strCache>
                <c:ptCount val="11"/>
                <c:pt idx="0">
                  <c:v>Financial Year</c:v>
                </c:pt>
                <c:pt idx="1">
                  <c:v>FY2016-17</c:v>
                </c:pt>
                <c:pt idx="2">
                  <c:v>FY2017-18</c:v>
                </c:pt>
                <c:pt idx="3">
                  <c:v>FY2018-19</c:v>
                </c:pt>
                <c:pt idx="4">
                  <c:v>FY2019-20</c:v>
                </c:pt>
                <c:pt idx="5">
                  <c:v>FY2020-21</c:v>
                </c:pt>
                <c:pt idx="6">
                  <c:v>FY2021-22</c:v>
                </c:pt>
                <c:pt idx="7">
                  <c:v>FY2022-23</c:v>
                </c:pt>
                <c:pt idx="8">
                  <c:v>FY2023-24</c:v>
                </c:pt>
                <c:pt idx="9">
                  <c:v>FY2024-25</c:v>
                </c:pt>
                <c:pt idx="10">
                  <c:v>FY2025-26</c:v>
                </c:pt>
              </c:strCache>
            </c:strRef>
          </c:cat>
          <c:val>
            <c:numRef>
              <c:f>'Regression'!$D$3:$D$13</c:f>
              <c:numCache>
                <c:ptCount val="10"/>
                <c:pt idx="1">
                  <c:v>104628.836364</c:v>
                </c:pt>
                <c:pt idx="2">
                  <c:v>123151.072727</c:v>
                </c:pt>
                <c:pt idx="3">
                  <c:v>141673.309091</c:v>
                </c:pt>
                <c:pt idx="4">
                  <c:v>160195.545455</c:v>
                </c:pt>
                <c:pt idx="5">
                  <c:v>178717.781818</c:v>
                </c:pt>
                <c:pt idx="6">
                  <c:v>197240.018182</c:v>
                </c:pt>
                <c:pt idx="7">
                  <c:v>215762.254545</c:v>
                </c:pt>
                <c:pt idx="8">
                  <c:v>234284.490909</c:v>
                </c:pt>
                <c:pt idx="9">
                  <c:v>252806.727273</c:v>
                </c:pt>
                <c:pt idx="10">
                  <c:v>271328.963636</c:v>
                </c:pt>
              </c:numCache>
            </c:numRef>
          </c:val>
          <c:smooth val="0"/>
        </c:ser>
        <c:marker val="1"/>
        <c:axId val="2094734552"/>
        <c:axId val="2094734553"/>
      </c:lineChart>
      <c:catAx>
        <c:axId val="2094734552"/>
        <c:scaling>
          <c:orientation val="minMax"/>
        </c:scaling>
        <c:delete val="0"/>
        <c:axPos val="b"/>
        <c:numFmt formatCode="General" sourceLinked="1"/>
        <c:majorTickMark val="out"/>
        <c:minorTickMark val="none"/>
        <c:tickLblPos val="low"/>
        <c:spPr>
          <a:ln w="12700" cap="flat">
            <a:solidFill>
              <a:srgbClr val="888888"/>
            </a:solidFill>
            <a:prstDash val="solid"/>
            <a:round/>
          </a:ln>
        </c:spPr>
        <c:txPr>
          <a:bodyPr rot="0"/>
          <a:lstStyle/>
          <a:p>
            <a:pPr>
              <a:defRPr b="0" i="0" strike="noStrike" sz="1800" u="none">
                <a:solidFill>
                  <a:srgbClr val="000000"/>
                </a:solidFill>
                <a:latin typeface="Helvetica Neue"/>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General" sourceLinked="1"/>
        <c:majorTickMark val="out"/>
        <c:minorTickMark val="none"/>
        <c:tickLblPos val="nextTo"/>
        <c:spPr>
          <a:ln w="12700" cap="flat">
            <a:solidFill>
              <a:srgbClr val="888888"/>
            </a:solidFill>
            <a:prstDash val="solid"/>
            <a:round/>
          </a:ln>
        </c:spPr>
        <c:txPr>
          <a:bodyPr rot="0"/>
          <a:lstStyle/>
          <a:p>
            <a:pPr>
              <a:defRPr b="0" i="0" strike="noStrike" sz="1800" u="none">
                <a:solidFill>
                  <a:srgbClr val="000000"/>
                </a:solidFill>
                <a:latin typeface="Helvetica Neue"/>
              </a:defRPr>
            </a:pPr>
          </a:p>
        </c:txPr>
        <c:crossAx val="2094734552"/>
        <c:crosses val="autoZero"/>
        <c:crossBetween val="midCat"/>
        <c:majorUnit val="70000"/>
        <c:minorUnit val="35000"/>
      </c:valAx>
      <c:spPr>
        <a:solidFill>
          <a:srgbClr val="FFFFFF"/>
        </a:solidFill>
        <a:ln w="12700" cap="flat">
          <a:noFill/>
          <a:miter lim="400000"/>
        </a:ln>
        <a:effectLst/>
      </c:spPr>
    </c:plotArea>
    <c:legend>
      <c:legendPos val="t"/>
      <c:layout>
        <c:manualLayout>
          <c:xMode val="edge"/>
          <c:yMode val="edge"/>
          <c:x val="0.14105"/>
          <c:y val="0"/>
          <c:w val="0.845847"/>
          <c:h val="0.0616374"/>
        </c:manualLayout>
      </c:layout>
      <c:overlay val="1"/>
      <c:spPr>
        <a:noFill/>
        <a:ln w="12700" cap="flat">
          <a:noFill/>
          <a:miter lim="400000"/>
        </a:ln>
        <a:effectLst/>
      </c:spPr>
      <c:txPr>
        <a:bodyPr rot="0"/>
        <a:lstStyle/>
        <a:p>
          <a:pPr>
            <a:defRPr b="0" i="0" strike="noStrike" sz="1800" u="none">
              <a:solidFill>
                <a:srgbClr val="000000"/>
              </a:solidFill>
              <a:latin typeface="Helvetica Neue"/>
            </a:defRPr>
          </a:pPr>
        </a:p>
      </c:txPr>
    </c:legend>
    <c:plotVisOnly val="1"/>
    <c:dispBlanksAs val="gap"/>
  </c:chart>
  <c:spPr>
    <a:solidFill>
      <a:srgbClr val="FFFFFF"/>
    </a:solidFill>
    <a:ln w="12700" cap="flat">
      <a:solidFill>
        <a:srgbClr val="888888"/>
      </a:solidFill>
      <a:prstDash val="solid"/>
      <a:round/>
    </a:ln>
    <a:effectLst/>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2.xml.rels><?xml version="1.0" encoding="UTF-8"?>
<Relationships xmlns="http://schemas.openxmlformats.org/package/2006/relationships"><Relationship Id="rId1" Type="http://schemas.openxmlformats.org/officeDocument/2006/relationships/chart" Target="../charts/chart4.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170930</xdr:colOff>
      <xdr:row>7</xdr:row>
      <xdr:rowOff>122463</xdr:rowOff>
    </xdr:from>
    <xdr:to>
      <xdr:col>5</xdr:col>
      <xdr:colOff>620049</xdr:colOff>
      <xdr:row>23</xdr:row>
      <xdr:rowOff>24210</xdr:rowOff>
    </xdr:to>
    <xdr:graphicFrame>
      <xdr:nvGraphicFramePr>
        <xdr:cNvPr id="2" name="Chart 1"/>
        <xdr:cNvGraphicFramePr/>
      </xdr:nvGraphicFramePr>
      <xdr:xfrm>
        <a:off x="170930" y="1566453"/>
        <a:ext cx="5021120" cy="2655108"/>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6</xdr:col>
      <xdr:colOff>666093</xdr:colOff>
      <xdr:row>7</xdr:row>
      <xdr:rowOff>122463</xdr:rowOff>
    </xdr:from>
    <xdr:to>
      <xdr:col>12</xdr:col>
      <xdr:colOff>200813</xdr:colOff>
      <xdr:row>23</xdr:row>
      <xdr:rowOff>24210</xdr:rowOff>
    </xdr:to>
    <xdr:graphicFrame>
      <xdr:nvGraphicFramePr>
        <xdr:cNvPr id="3" name="Chart 2"/>
        <xdr:cNvGraphicFramePr/>
      </xdr:nvGraphicFramePr>
      <xdr:xfrm>
        <a:off x="6152493" y="1566453"/>
        <a:ext cx="5021121" cy="2655108"/>
      </xdr:xfrm>
      <a:graphic xmlns:a="http://schemas.openxmlformats.org/drawingml/2006/main">
        <a:graphicData uri="http://schemas.openxmlformats.org/drawingml/2006/chart">
          <c:chart xmlns:c="http://schemas.openxmlformats.org/drawingml/2006/chart" r:id="rId2"/>
        </a:graphicData>
      </a:graphic>
    </xdr:graphicFrame>
    <xdr:clientData/>
  </xdr:twoCellAnchor>
  <xdr:twoCellAnchor>
    <xdr:from>
      <xdr:col>3</xdr:col>
      <xdr:colOff>416310</xdr:colOff>
      <xdr:row>26</xdr:row>
      <xdr:rowOff>130333</xdr:rowOff>
    </xdr:from>
    <xdr:to>
      <xdr:col>8</xdr:col>
      <xdr:colOff>784205</xdr:colOff>
      <xdr:row>41</xdr:row>
      <xdr:rowOff>167335</xdr:rowOff>
    </xdr:to>
    <xdr:graphicFrame>
      <xdr:nvGraphicFramePr>
        <xdr:cNvPr id="4" name="Chart 3"/>
        <xdr:cNvGraphicFramePr/>
      </xdr:nvGraphicFramePr>
      <xdr:xfrm>
        <a:off x="3159510" y="4843938"/>
        <a:ext cx="4939895" cy="2655108"/>
      </xdr:xfrm>
      <a:graphic xmlns:a="http://schemas.openxmlformats.org/drawingml/2006/main">
        <a:graphicData uri="http://schemas.openxmlformats.org/drawingml/2006/chart">
          <c:chart xmlns:c="http://schemas.openxmlformats.org/drawingml/2006/chart" r:id="rId3"/>
        </a:graphicData>
      </a:graphic>
    </xdr:graphicFrame>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18</xdr:row>
      <xdr:rowOff>63500</xdr:rowOff>
    </xdr:from>
    <xdr:to>
      <xdr:col>9</xdr:col>
      <xdr:colOff>451434</xdr:colOff>
      <xdr:row>57</xdr:row>
      <xdr:rowOff>85372</xdr:rowOff>
    </xdr:to>
    <xdr:graphicFrame>
      <xdr:nvGraphicFramePr>
        <xdr:cNvPr id="6" name="2D Line Chart"/>
        <xdr:cNvGraphicFramePr/>
      </xdr:nvGraphicFramePr>
      <xdr:xfrm>
        <a:off x="-508407" y="3314064"/>
        <a:ext cx="12033836" cy="7451374"/>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3.xml.rels><?xml version="1.0" encoding="UTF-8"?>
<Relationships xmlns="http://schemas.openxmlformats.org/package/2006/relationships"><Relationship Id="rId1" Type="http://schemas.openxmlformats.org/officeDocument/2006/relationships/drawing" Target="../drawings/drawing1.xml"/></Relationships>

</file>

<file path=xl/worksheets/_rels/sheet5.xml.rels><?xml version="1.0" encoding="UTF-8"?>
<Relationships xmlns="http://schemas.openxmlformats.org/package/2006/relationships"><Relationship Id="rId1" Type="http://schemas.openxmlformats.org/officeDocument/2006/relationships/drawing" Target="../drawings/drawing2.xml"/></Relationships>

</file>

<file path=xl/worksheets/sheet1.xml><?xml version="1.0" encoding="utf-8"?>
<worksheet xmlns:r="http://schemas.openxmlformats.org/officeDocument/2006/relationships" xmlns="http://schemas.openxmlformats.org/spreadsheetml/2006/main">
  <dimension ref="A1:E18"/>
  <sheetViews>
    <sheetView workbookViewId="0" showGridLines="0" defaultGridColor="1"/>
  </sheetViews>
  <sheetFormatPr defaultColWidth="10" defaultRowHeight="12.95" customHeight="1" outlineLevelRow="0" outlineLevelCol="0"/>
  <cols>
    <col min="1" max="1" width="2" style="1" customWidth="1"/>
    <col min="2" max="4" width="30.5" style="1" customWidth="1"/>
    <col min="5" max="5" width="10" style="1" customWidth="1"/>
    <col min="6" max="16384" width="10" style="1" customWidth="1"/>
  </cols>
  <sheetData>
    <row r="1" ht="13.55" customHeight="1">
      <c r="A1" s="2"/>
      <c r="B1" s="3"/>
      <c r="C1" s="3"/>
      <c r="D1" s="3"/>
      <c r="E1" s="4"/>
    </row>
    <row r="2" ht="13.55" customHeight="1">
      <c r="A2" s="5"/>
      <c r="B2" s="6"/>
      <c r="C2" s="6"/>
      <c r="D2" s="6"/>
      <c r="E2" s="7"/>
    </row>
    <row r="3" ht="8" customHeight="1" hidden="1">
      <c r="A3" s="5"/>
      <c r="B3" t="s" s="8">
        <v>0</v>
      </c>
      <c r="C3" s="6"/>
      <c r="D3" s="6"/>
      <c r="E3" s="7"/>
    </row>
    <row r="4" ht="13.55" customHeight="1">
      <c r="A4" s="5"/>
      <c r="B4" s="6"/>
      <c r="C4" s="6"/>
      <c r="D4" s="6"/>
      <c r="E4" s="7"/>
    </row>
    <row r="5" ht="13.55" customHeight="1">
      <c r="A5" s="5"/>
      <c r="B5" s="6"/>
      <c r="C5" s="6"/>
      <c r="D5" s="6"/>
      <c r="E5" s="7"/>
    </row>
    <row r="6" ht="13.55" customHeight="1">
      <c r="A6" s="5"/>
      <c r="B6" s="6"/>
      <c r="C6" s="6"/>
      <c r="D6" s="6"/>
      <c r="E6" s="7"/>
    </row>
    <row r="7" ht="18.75" customHeight="1">
      <c r="A7" s="5"/>
      <c r="B7" t="s" s="9">
        <v>1</v>
      </c>
      <c r="C7" t="s" s="9">
        <v>2</v>
      </c>
      <c r="D7" t="s" s="9">
        <v>3</v>
      </c>
      <c r="E7" s="7"/>
    </row>
    <row r="8" ht="13.55" customHeight="1">
      <c r="A8" s="5"/>
      <c r="B8" s="6"/>
      <c r="C8" s="6"/>
      <c r="D8" s="6"/>
      <c r="E8" s="7"/>
    </row>
    <row r="9" ht="15.75" customHeight="1">
      <c r="A9" s="5"/>
      <c r="B9" t="s" s="10">
        <v>4</v>
      </c>
      <c r="C9" s="11"/>
      <c r="D9" s="11"/>
      <c r="E9" s="7"/>
    </row>
    <row r="10" ht="15.75" customHeight="1">
      <c r="A10" s="5"/>
      <c r="B10" s="12"/>
      <c r="C10" t="s" s="13">
        <v>5</v>
      </c>
      <c r="D10" t="s" s="14">
        <v>6</v>
      </c>
      <c r="E10" s="7"/>
    </row>
    <row r="11" ht="15.75" customHeight="1">
      <c r="A11" s="5"/>
      <c r="B11" t="s" s="10">
        <v>7</v>
      </c>
      <c r="C11" s="11"/>
      <c r="D11" s="11"/>
      <c r="E11" s="7"/>
    </row>
    <row r="12" ht="15.75" customHeight="1">
      <c r="A12" s="5"/>
      <c r="B12" s="12"/>
      <c r="C12" t="s" s="13">
        <v>5</v>
      </c>
      <c r="D12" t="s" s="14">
        <v>8</v>
      </c>
      <c r="E12" s="7"/>
    </row>
    <row r="13" ht="15.75" customHeight="1">
      <c r="A13" s="5"/>
      <c r="B13" t="s" s="10">
        <v>9</v>
      </c>
      <c r="C13" s="11"/>
      <c r="D13" s="11"/>
      <c r="E13" s="7"/>
    </row>
    <row r="14" ht="15.75" customHeight="1">
      <c r="A14" s="5"/>
      <c r="B14" s="12"/>
      <c r="C14" t="s" s="13">
        <v>5</v>
      </c>
      <c r="D14" t="s" s="14">
        <v>10</v>
      </c>
      <c r="E14" s="7"/>
    </row>
    <row r="15" ht="15.75" customHeight="1">
      <c r="A15" s="5"/>
      <c r="B15" t="s" s="10">
        <v>11</v>
      </c>
      <c r="C15" s="11"/>
      <c r="D15" s="11"/>
      <c r="E15" s="7"/>
    </row>
    <row r="16" ht="15.75" customHeight="1">
      <c r="A16" s="5"/>
      <c r="B16" s="12"/>
      <c r="C16" t="s" s="13">
        <v>5</v>
      </c>
      <c r="D16" t="s" s="14">
        <v>12</v>
      </c>
      <c r="E16" s="7"/>
    </row>
    <row r="17" ht="15.75" customHeight="1">
      <c r="A17" s="5"/>
      <c r="B17" t="s" s="10">
        <v>13</v>
      </c>
      <c r="C17" s="11"/>
      <c r="D17" s="11"/>
      <c r="E17" s="7"/>
    </row>
    <row r="18" ht="15.75" customHeight="1">
      <c r="A18" s="15"/>
      <c r="B18" s="16"/>
      <c r="C18" t="s" s="17">
        <v>5</v>
      </c>
      <c r="D18" t="s" s="18">
        <v>14</v>
      </c>
      <c r="E18" s="19"/>
    </row>
  </sheetData>
  <mergeCells count="1">
    <mergeCell ref="B3:D3"/>
  </mergeCells>
  <hyperlinks>
    <hyperlink ref="D10" location="'Raw Data'!R1C1" tooltip="" display="Raw Data"/>
    <hyperlink ref="D12" location="'Dashboard'!R1C1" tooltip="" display="Dashboard"/>
    <hyperlink ref="D14" location="'Pivot Analysis'!R1C1" tooltip="" display="Pivot Analysis"/>
    <hyperlink ref="D16" location="'Regression'!R1C1" tooltip="" display="Regression"/>
    <hyperlink ref="D18" location="'Insights'!R1C1" tooltip="" display="Insights"/>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H12"/>
  <sheetViews>
    <sheetView workbookViewId="0" showGridLines="0" defaultGridColor="1"/>
  </sheetViews>
  <sheetFormatPr defaultColWidth="8.83333" defaultRowHeight="15" customHeight="1" outlineLevelRow="0" outlineLevelCol="0"/>
  <cols>
    <col min="1" max="1" width="16" style="20" customWidth="1"/>
    <col min="2" max="2" width="18" style="20" customWidth="1"/>
    <col min="3" max="3" width="20" style="20" customWidth="1"/>
    <col min="4" max="4" width="25" style="20" customWidth="1"/>
    <col min="5" max="7" width="18" style="20" customWidth="1"/>
    <col min="8" max="8" width="8.85156" style="20" customWidth="1"/>
    <col min="9" max="16384" width="8.85156" style="20" customWidth="1"/>
  </cols>
  <sheetData>
    <row r="1" ht="13.5" customHeight="1">
      <c r="A1" t="s" s="21">
        <v>15</v>
      </c>
      <c r="B1" t="s" s="22">
        <v>16</v>
      </c>
      <c r="C1" t="s" s="22">
        <v>17</v>
      </c>
      <c r="D1" t="s" s="22">
        <v>18</v>
      </c>
      <c r="E1" t="s" s="22">
        <v>19</v>
      </c>
      <c r="F1" t="s" s="22">
        <v>20</v>
      </c>
      <c r="G1" t="s" s="23">
        <v>21</v>
      </c>
      <c r="H1" s="24"/>
    </row>
    <row r="2" ht="13.5" customHeight="1">
      <c r="A2" t="s" s="25">
        <v>22</v>
      </c>
      <c r="B2" s="26">
        <v>108646</v>
      </c>
      <c r="C2" s="26">
        <v>26751</v>
      </c>
      <c r="D2" s="26">
        <v>24464</v>
      </c>
      <c r="E2" s="27"/>
      <c r="F2" s="27" cm="1">
        <f t="array" ref="F2">C2/B2</f>
        <v>0.246221674060711</v>
      </c>
      <c r="G2" s="28" cm="1">
        <f t="array" ref="G2">D2/B2</f>
        <v>0.225171658413563</v>
      </c>
      <c r="H2" s="29"/>
    </row>
    <row r="3" ht="13.5" customHeight="1">
      <c r="A3" t="s" s="30">
        <v>23</v>
      </c>
      <c r="B3" s="31">
        <v>123104</v>
      </c>
      <c r="C3" s="31">
        <v>25075</v>
      </c>
      <c r="D3" s="31">
        <v>27890</v>
      </c>
      <c r="E3" s="32" cm="1">
        <f t="array" ref="E3">(B3-B2)/B2</f>
        <v>0.133074388380612</v>
      </c>
      <c r="F3" s="32" cm="1">
        <f t="array" ref="F3">C3/B3</f>
        <v>0.203689563296075</v>
      </c>
      <c r="G3" s="33" cm="1">
        <f t="array" ref="G3">D3/B3</f>
        <v>0.22655640759033</v>
      </c>
      <c r="H3" s="29"/>
    </row>
    <row r="4" ht="13.5" customHeight="1">
      <c r="A4" t="s" s="25">
        <v>24</v>
      </c>
      <c r="B4" s="26">
        <v>146463</v>
      </c>
      <c r="C4" s="26">
        <v>31472</v>
      </c>
      <c r="D4" s="26">
        <v>32649</v>
      </c>
      <c r="E4" s="27" cm="1">
        <f t="array" ref="E4">(B4-B3)/B3</f>
        <v>0.189750129971406</v>
      </c>
      <c r="F4" s="27" cm="1">
        <f t="array" ref="F4">C4/B4</f>
        <v>0.21488020865338</v>
      </c>
      <c r="G4" s="28" cm="1">
        <f t="array" ref="G4">D4/B4</f>
        <v>0.222916367956412</v>
      </c>
      <c r="H4" s="29"/>
    </row>
    <row r="5" ht="13.5" customHeight="1">
      <c r="A5" t="s" s="30">
        <v>25</v>
      </c>
      <c r="B5" s="31">
        <v>156949</v>
      </c>
      <c r="C5" s="31">
        <v>32340</v>
      </c>
      <c r="D5" s="31">
        <v>33588</v>
      </c>
      <c r="E5" s="32" cm="1">
        <f t="array" ref="E5">(B5-B4)/B4</f>
        <v>0.0715948737906502</v>
      </c>
      <c r="F5" s="32" cm="1">
        <f t="array" ref="F5">C5/B5</f>
        <v>0.206054195949003</v>
      </c>
      <c r="G5" s="33" cm="1">
        <f t="array" ref="G5">D5/B5</f>
        <v>0.214005823547777</v>
      </c>
      <c r="H5" s="29"/>
    </row>
    <row r="6" ht="13.5" customHeight="1">
      <c r="A6" t="s" s="25">
        <v>26</v>
      </c>
      <c r="B6" s="26">
        <v>164177</v>
      </c>
      <c r="C6" s="26">
        <v>32430</v>
      </c>
      <c r="D6" s="26">
        <v>41035</v>
      </c>
      <c r="E6" s="27" cm="1">
        <f t="array" ref="E6">(B6-B5)/B5</f>
        <v>0.0460531765095668</v>
      </c>
      <c r="F6" s="27" cm="1">
        <f t="array" ref="F6">C6/B6</f>
        <v>0.197530713802786</v>
      </c>
      <c r="G6" s="28" cm="1">
        <f t="array" ref="G6">D6/B6</f>
        <v>0.249943658368712</v>
      </c>
      <c r="H6" s="29"/>
    </row>
    <row r="7" ht="13.5" customHeight="1">
      <c r="A7" t="s" s="30">
        <v>27</v>
      </c>
      <c r="B7" s="31">
        <v>191754</v>
      </c>
      <c r="C7" s="31">
        <v>38327</v>
      </c>
      <c r="D7" s="31">
        <v>39889</v>
      </c>
      <c r="E7" s="32" cm="1">
        <f t="array" ref="E7">(B7-B6)/B6</f>
        <v>0.16797115308478</v>
      </c>
      <c r="F7" s="32" cm="1">
        <f t="array" ref="F7">C7/B7</f>
        <v>0.199875882641301</v>
      </c>
      <c r="G7" s="33" cm="1">
        <f t="array" ref="G7">D7/B7</f>
        <v>0.208021736182818</v>
      </c>
      <c r="H7" s="29"/>
    </row>
    <row r="8" ht="13.5" customHeight="1">
      <c r="A8" t="s" s="25">
        <v>28</v>
      </c>
      <c r="B8" s="26">
        <v>225458</v>
      </c>
      <c r="C8" s="26">
        <v>42303</v>
      </c>
      <c r="D8" s="26">
        <v>44963</v>
      </c>
      <c r="E8" s="27" cm="1">
        <f t="array" ref="E8">(B8-B7)/B7</f>
        <v>0.175766867966248</v>
      </c>
      <c r="F8" s="27" cm="1">
        <f t="array" ref="F8">C8/B8</f>
        <v>0.187631399196303</v>
      </c>
      <c r="G8" s="28" cm="1">
        <f t="array" ref="G8">D8/B8</f>
        <v>0.199429605514109</v>
      </c>
      <c r="H8" s="29"/>
    </row>
    <row r="9" ht="13.5" customHeight="1">
      <c r="A9" t="s" s="30">
        <v>29</v>
      </c>
      <c r="B9" s="31">
        <v>240893</v>
      </c>
      <c r="C9" s="31">
        <v>46585</v>
      </c>
      <c r="D9" s="31">
        <v>49099</v>
      </c>
      <c r="E9" s="32" cm="1">
        <f t="array" ref="E9">(B9-B8)/B8</f>
        <v>0.0684606445546399</v>
      </c>
      <c r="F9" s="32" cm="1">
        <f t="array" ref="F9">C9/B9</f>
        <v>0.193384614745966</v>
      </c>
      <c r="G9" s="33" cm="1">
        <f t="array" ref="G9">D9/B9</f>
        <v>0.203820783501389</v>
      </c>
      <c r="H9" s="29"/>
    </row>
    <row r="10" ht="13.5" customHeight="1">
      <c r="A10" t="s" s="25">
        <v>30</v>
      </c>
      <c r="B10" s="26">
        <v>255324</v>
      </c>
      <c r="C10" s="26">
        <v>48553</v>
      </c>
      <c r="D10" s="26">
        <v>48908</v>
      </c>
      <c r="E10" s="27" cm="1">
        <f t="array" ref="E10">(B10-B9)/B9</f>
        <v>0.0599062654373519</v>
      </c>
      <c r="F10" s="27" cm="1">
        <f t="array" ref="F10">C10/B10</f>
        <v>0.190162303582899</v>
      </c>
      <c r="G10" s="28" cm="1">
        <f t="array" ref="G10">D10/B10</f>
        <v>0.191552693832151</v>
      </c>
      <c r="H10" s="29"/>
    </row>
    <row r="11" ht="13.5" customHeight="1">
      <c r="A11" t="s" s="30">
        <v>31</v>
      </c>
      <c r="B11" s="31">
        <v>267021</v>
      </c>
      <c r="C11" s="31">
        <v>49210</v>
      </c>
      <c r="D11" s="31">
        <v>52094</v>
      </c>
      <c r="E11" s="32" cm="1">
        <f t="array" ref="E11">(B11-B10)/B10</f>
        <v>0.0458123795647883</v>
      </c>
      <c r="F11" s="32" cm="1">
        <f t="array" ref="F11">C11/B11</f>
        <v>0.184292621179608</v>
      </c>
      <c r="G11" s="33" cm="1">
        <f t="array" ref="G11">D11/B11</f>
        <v>0.19509326981773</v>
      </c>
      <c r="H11" s="29"/>
    </row>
    <row r="12" ht="13.5" customHeight="1">
      <c r="A12" s="34"/>
      <c r="B12" s="35"/>
      <c r="C12" s="35"/>
      <c r="D12" s="35"/>
      <c r="E12" s="35"/>
      <c r="F12" s="35"/>
      <c r="G12" s="35"/>
      <c r="H12" s="36"/>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M39"/>
  <sheetViews>
    <sheetView workbookViewId="0" showGridLines="0" defaultGridColor="1"/>
  </sheetViews>
  <sheetFormatPr defaultColWidth="8.83333" defaultRowHeight="15" customHeight="1" outlineLevelRow="0" outlineLevelCol="0"/>
  <cols>
    <col min="1" max="12" width="12" style="37" customWidth="1"/>
    <col min="13" max="13" width="8.85156" style="37" customWidth="1"/>
    <col min="14" max="16384" width="8.85156" style="37" customWidth="1"/>
  </cols>
  <sheetData>
    <row r="1" ht="29.85" customHeight="1">
      <c r="A1" t="s" s="38">
        <v>32</v>
      </c>
      <c r="B1" s="39"/>
      <c r="C1" s="39"/>
      <c r="D1" s="39"/>
      <c r="E1" s="39"/>
      <c r="F1" s="39"/>
      <c r="G1" s="39"/>
      <c r="H1" s="39"/>
      <c r="I1" s="39"/>
      <c r="J1" s="39"/>
      <c r="K1" s="39"/>
      <c r="L1" s="40"/>
      <c r="M1" s="41"/>
    </row>
    <row r="2" ht="21.95" customHeight="1">
      <c r="A2" s="42"/>
      <c r="B2" s="43"/>
      <c r="C2" s="43"/>
      <c r="D2" s="43"/>
      <c r="E2" s="43"/>
      <c r="F2" s="43"/>
      <c r="G2" s="43"/>
      <c r="H2" s="43"/>
      <c r="I2" s="43"/>
      <c r="J2" s="43"/>
      <c r="K2" s="43"/>
      <c r="L2" s="44"/>
      <c r="M2" s="45"/>
    </row>
    <row r="3" ht="13.5" customHeight="1">
      <c r="A3" s="46"/>
      <c r="B3" s="47"/>
      <c r="C3" s="47"/>
      <c r="D3" s="47"/>
      <c r="E3" s="47"/>
      <c r="F3" s="47"/>
      <c r="G3" s="47"/>
      <c r="H3" s="48"/>
      <c r="I3" s="48"/>
      <c r="J3" s="48"/>
      <c r="K3" s="48"/>
      <c r="L3" s="49"/>
      <c r="M3" s="45"/>
    </row>
    <row r="4" ht="13.5" customHeight="1">
      <c r="A4" t="s" s="50">
        <v>19</v>
      </c>
      <c r="B4" s="51"/>
      <c r="C4" s="51"/>
      <c r="D4" s="51"/>
      <c r="E4" t="s" s="50">
        <v>20</v>
      </c>
      <c r="F4" s="51"/>
      <c r="G4" s="51"/>
      <c r="H4" s="51"/>
      <c r="I4" t="s" s="50">
        <v>33</v>
      </c>
      <c r="J4" s="51"/>
      <c r="K4" s="51"/>
      <c r="L4" s="51"/>
      <c r="M4" s="52"/>
    </row>
    <row r="5" ht="8.45" customHeight="1">
      <c r="A5" s="53" cm="1">
        <f t="array" ref="A5">'Raw Data'!E11</f>
        <v>0.0458123795647883</v>
      </c>
      <c r="B5" s="51"/>
      <c r="C5" s="51"/>
      <c r="D5" s="51"/>
      <c r="E5" s="53" cm="1">
        <f t="array" ref="E5">'Raw Data'!F11</f>
        <v>0.184292621179608</v>
      </c>
      <c r="F5" s="51"/>
      <c r="G5" s="51"/>
      <c r="H5" s="51"/>
      <c r="I5" s="54" cm="1">
        <f t="array" ref="I5">'Raw Data'!D11</f>
        <v>52094</v>
      </c>
      <c r="J5" s="51"/>
      <c r="K5" s="51"/>
      <c r="L5" s="51"/>
      <c r="M5" s="52"/>
    </row>
    <row r="6" ht="12.95" customHeight="1">
      <c r="A6" s="51"/>
      <c r="B6" s="51"/>
      <c r="C6" s="51"/>
      <c r="D6" s="51"/>
      <c r="E6" s="51"/>
      <c r="F6" s="51"/>
      <c r="G6" s="51"/>
      <c r="H6" s="51"/>
      <c r="I6" s="51"/>
      <c r="J6" s="51"/>
      <c r="K6" s="51"/>
      <c r="L6" s="51"/>
      <c r="M6" s="52"/>
    </row>
    <row r="7" ht="13.5" customHeight="1">
      <c r="A7" s="55"/>
      <c r="B7" s="56"/>
      <c r="C7" s="56"/>
      <c r="D7" s="56"/>
      <c r="E7" s="56"/>
      <c r="F7" s="56"/>
      <c r="G7" s="56"/>
      <c r="H7" s="56"/>
      <c r="I7" s="56"/>
      <c r="J7" s="56"/>
      <c r="K7" s="56"/>
      <c r="L7" s="57"/>
      <c r="M7" s="45"/>
    </row>
    <row r="8" ht="13.55" customHeight="1">
      <c r="A8" s="58"/>
      <c r="B8" s="39"/>
      <c r="C8" s="39"/>
      <c r="D8" s="39"/>
      <c r="E8" s="39"/>
      <c r="F8" s="39"/>
      <c r="G8" s="39"/>
      <c r="H8" s="39"/>
      <c r="I8" s="39"/>
      <c r="J8" s="39"/>
      <c r="K8" s="39"/>
      <c r="L8" s="39"/>
      <c r="M8" s="44"/>
    </row>
    <row r="9" ht="13.55" customHeight="1">
      <c r="A9" s="59"/>
      <c r="B9" s="43"/>
      <c r="C9" s="43"/>
      <c r="D9" s="43"/>
      <c r="E9" s="43"/>
      <c r="F9" s="43"/>
      <c r="G9" s="43"/>
      <c r="H9" s="43"/>
      <c r="I9" s="43"/>
      <c r="J9" s="43"/>
      <c r="K9" s="43"/>
      <c r="L9" s="43"/>
      <c r="M9" s="44"/>
    </row>
    <row r="10" ht="13.55" customHeight="1">
      <c r="A10" s="59"/>
      <c r="B10" s="43"/>
      <c r="C10" s="43"/>
      <c r="D10" s="43"/>
      <c r="E10" s="43"/>
      <c r="F10" s="43"/>
      <c r="G10" s="43"/>
      <c r="H10" s="43"/>
      <c r="I10" s="43"/>
      <c r="J10" s="43"/>
      <c r="K10" s="43"/>
      <c r="L10" s="43"/>
      <c r="M10" s="44"/>
    </row>
    <row r="11" ht="13.55" customHeight="1">
      <c r="A11" s="59"/>
      <c r="B11" s="43"/>
      <c r="C11" s="43"/>
      <c r="D11" s="43"/>
      <c r="E11" s="43"/>
      <c r="F11" s="43"/>
      <c r="G11" s="43"/>
      <c r="H11" s="43"/>
      <c r="I11" s="43"/>
      <c r="J11" s="43"/>
      <c r="K11" s="43"/>
      <c r="L11" s="43"/>
      <c r="M11" s="44"/>
    </row>
    <row r="12" ht="13.55" customHeight="1">
      <c r="A12" s="59"/>
      <c r="B12" s="43"/>
      <c r="C12" s="43"/>
      <c r="D12" s="43"/>
      <c r="E12" s="43"/>
      <c r="F12" s="43"/>
      <c r="G12" s="43"/>
      <c r="H12" s="43"/>
      <c r="I12" s="43"/>
      <c r="J12" s="43"/>
      <c r="K12" s="43"/>
      <c r="L12" s="43"/>
      <c r="M12" s="44"/>
    </row>
    <row r="13" ht="13.55" customHeight="1">
      <c r="A13" s="59"/>
      <c r="B13" s="43"/>
      <c r="C13" s="43"/>
      <c r="D13" s="43"/>
      <c r="E13" s="43"/>
      <c r="F13" s="43"/>
      <c r="G13" s="43"/>
      <c r="H13" s="43"/>
      <c r="I13" s="43"/>
      <c r="J13" s="43"/>
      <c r="K13" s="43"/>
      <c r="L13" s="43"/>
      <c r="M13" s="44"/>
    </row>
    <row r="14" ht="13.55" customHeight="1">
      <c r="A14" s="59"/>
      <c r="B14" s="43"/>
      <c r="C14" s="43"/>
      <c r="D14" s="43"/>
      <c r="E14" s="43"/>
      <c r="F14" s="43"/>
      <c r="G14" s="43"/>
      <c r="H14" s="43"/>
      <c r="I14" s="43"/>
      <c r="J14" s="43"/>
      <c r="K14" s="43"/>
      <c r="L14" s="43"/>
      <c r="M14" s="44"/>
    </row>
    <row r="15" ht="13.55" customHeight="1">
      <c r="A15" s="59"/>
      <c r="B15" s="43"/>
      <c r="C15" s="43"/>
      <c r="D15" s="43"/>
      <c r="E15" s="43"/>
      <c r="F15" s="43"/>
      <c r="G15" s="43"/>
      <c r="H15" s="43"/>
      <c r="I15" s="43"/>
      <c r="J15" s="43"/>
      <c r="K15" s="43"/>
      <c r="L15" s="43"/>
      <c r="M15" s="44"/>
    </row>
    <row r="16" ht="13.55" customHeight="1">
      <c r="A16" s="59"/>
      <c r="B16" s="43"/>
      <c r="C16" s="43"/>
      <c r="D16" s="43"/>
      <c r="E16" s="43"/>
      <c r="F16" s="43"/>
      <c r="G16" s="43"/>
      <c r="H16" s="43"/>
      <c r="I16" s="43"/>
      <c r="J16" s="43"/>
      <c r="K16" s="43"/>
      <c r="L16" s="43"/>
      <c r="M16" s="44"/>
    </row>
    <row r="17" ht="13.55" customHeight="1">
      <c r="A17" s="59"/>
      <c r="B17" s="43"/>
      <c r="C17" s="43"/>
      <c r="D17" s="43"/>
      <c r="E17" s="43"/>
      <c r="F17" s="43"/>
      <c r="G17" s="43"/>
      <c r="H17" s="43"/>
      <c r="I17" s="43"/>
      <c r="J17" s="43"/>
      <c r="K17" s="43"/>
      <c r="L17" s="43"/>
      <c r="M17" s="44"/>
    </row>
    <row r="18" ht="13.55" customHeight="1">
      <c r="A18" s="59"/>
      <c r="B18" s="43"/>
      <c r="C18" s="43"/>
      <c r="D18" s="43"/>
      <c r="E18" s="43"/>
      <c r="F18" s="43"/>
      <c r="G18" s="43"/>
      <c r="H18" s="43"/>
      <c r="I18" s="43"/>
      <c r="J18" s="43"/>
      <c r="K18" s="43"/>
      <c r="L18" s="43"/>
      <c r="M18" s="44"/>
    </row>
    <row r="19" ht="13.55" customHeight="1">
      <c r="A19" s="59"/>
      <c r="B19" s="43"/>
      <c r="C19" s="43"/>
      <c r="D19" s="43"/>
      <c r="E19" s="43"/>
      <c r="F19" s="43"/>
      <c r="G19" s="43"/>
      <c r="H19" s="43"/>
      <c r="I19" s="43"/>
      <c r="J19" s="43"/>
      <c r="K19" s="43"/>
      <c r="L19" s="43"/>
      <c r="M19" s="44"/>
    </row>
    <row r="20" ht="13.55" customHeight="1">
      <c r="A20" s="59"/>
      <c r="B20" s="43"/>
      <c r="C20" s="43"/>
      <c r="D20" s="43"/>
      <c r="E20" s="43"/>
      <c r="F20" s="43"/>
      <c r="G20" s="43"/>
      <c r="H20" s="43"/>
      <c r="I20" s="43"/>
      <c r="J20" s="43"/>
      <c r="K20" s="43"/>
      <c r="L20" s="43"/>
      <c r="M20" s="44"/>
    </row>
    <row r="21" ht="13.55" customHeight="1">
      <c r="A21" s="59"/>
      <c r="B21" s="43"/>
      <c r="C21" s="43"/>
      <c r="D21" s="43"/>
      <c r="E21" s="43"/>
      <c r="F21" s="43"/>
      <c r="G21" s="43"/>
      <c r="H21" s="43"/>
      <c r="I21" s="43"/>
      <c r="J21" s="43"/>
      <c r="K21" s="43"/>
      <c r="L21" s="43"/>
      <c r="M21" s="44"/>
    </row>
    <row r="22" ht="13.55" customHeight="1">
      <c r="A22" s="59"/>
      <c r="B22" s="43"/>
      <c r="C22" s="43"/>
      <c r="D22" s="43"/>
      <c r="E22" s="43"/>
      <c r="F22" s="43"/>
      <c r="G22" s="43"/>
      <c r="H22" s="43"/>
      <c r="I22" s="43"/>
      <c r="J22" s="43"/>
      <c r="K22" s="43"/>
      <c r="L22" s="43"/>
      <c r="M22" s="44"/>
    </row>
    <row r="23" ht="13.55" customHeight="1">
      <c r="A23" s="59"/>
      <c r="B23" s="43"/>
      <c r="C23" s="43"/>
      <c r="D23" s="43"/>
      <c r="E23" s="43"/>
      <c r="F23" s="43"/>
      <c r="G23" s="43"/>
      <c r="H23" s="43"/>
      <c r="I23" s="43"/>
      <c r="J23" s="43"/>
      <c r="K23" s="43"/>
      <c r="L23" s="43"/>
      <c r="M23" s="44"/>
    </row>
    <row r="24" ht="13.55" customHeight="1">
      <c r="A24" s="59"/>
      <c r="B24" s="43"/>
      <c r="C24" s="43"/>
      <c r="D24" s="43"/>
      <c r="E24" s="43"/>
      <c r="F24" s="43"/>
      <c r="G24" s="43"/>
      <c r="H24" s="43"/>
      <c r="I24" s="43"/>
      <c r="J24" s="43"/>
      <c r="K24" s="43"/>
      <c r="L24" s="43"/>
      <c r="M24" s="44"/>
    </row>
    <row r="25" ht="13.55" customHeight="1">
      <c r="A25" s="59"/>
      <c r="B25" s="43"/>
      <c r="C25" s="43"/>
      <c r="D25" s="43"/>
      <c r="E25" s="43"/>
      <c r="F25" s="43"/>
      <c r="G25" s="43"/>
      <c r="H25" s="43"/>
      <c r="I25" s="43"/>
      <c r="J25" s="43"/>
      <c r="K25" s="43"/>
      <c r="L25" s="43"/>
      <c r="M25" s="44"/>
    </row>
    <row r="26" ht="13.55" customHeight="1">
      <c r="A26" s="59"/>
      <c r="B26" s="43"/>
      <c r="C26" s="43"/>
      <c r="D26" s="43"/>
      <c r="E26" s="43"/>
      <c r="F26" s="43"/>
      <c r="G26" s="43"/>
      <c r="H26" s="43"/>
      <c r="I26" s="43"/>
      <c r="J26" s="43"/>
      <c r="K26" s="43"/>
      <c r="L26" s="43"/>
      <c r="M26" s="44"/>
    </row>
    <row r="27" ht="13.55" customHeight="1">
      <c r="A27" s="59"/>
      <c r="B27" s="43"/>
      <c r="C27" s="43"/>
      <c r="D27" s="43"/>
      <c r="E27" s="43"/>
      <c r="F27" s="43"/>
      <c r="G27" s="43"/>
      <c r="H27" s="43"/>
      <c r="I27" s="43"/>
      <c r="J27" s="43"/>
      <c r="K27" s="43"/>
      <c r="L27" s="43"/>
      <c r="M27" s="44"/>
    </row>
    <row r="28" ht="13.55" customHeight="1">
      <c r="A28" s="59"/>
      <c r="B28" s="43"/>
      <c r="C28" s="43"/>
      <c r="D28" s="43"/>
      <c r="E28" s="43"/>
      <c r="F28" s="43"/>
      <c r="G28" s="43"/>
      <c r="H28" s="43"/>
      <c r="I28" s="43"/>
      <c r="J28" s="43"/>
      <c r="K28" s="43"/>
      <c r="L28" s="43"/>
      <c r="M28" s="44"/>
    </row>
    <row r="29" ht="13.55" customHeight="1">
      <c r="A29" s="59"/>
      <c r="B29" s="43"/>
      <c r="C29" s="43"/>
      <c r="D29" s="43"/>
      <c r="E29" s="43"/>
      <c r="F29" s="43"/>
      <c r="G29" s="43"/>
      <c r="H29" s="43"/>
      <c r="I29" s="43"/>
      <c r="J29" s="43"/>
      <c r="K29" s="43"/>
      <c r="L29" s="43"/>
      <c r="M29" s="44"/>
    </row>
    <row r="30" ht="13.55" customHeight="1">
      <c r="A30" s="59"/>
      <c r="B30" s="43"/>
      <c r="C30" s="43"/>
      <c r="D30" s="43"/>
      <c r="E30" s="43"/>
      <c r="F30" s="43"/>
      <c r="G30" s="43"/>
      <c r="H30" s="43"/>
      <c r="I30" s="43"/>
      <c r="J30" s="43"/>
      <c r="K30" s="43"/>
      <c r="L30" s="43"/>
      <c r="M30" s="44"/>
    </row>
    <row r="31" ht="13.55" customHeight="1">
      <c r="A31" s="59"/>
      <c r="B31" s="43"/>
      <c r="C31" s="43"/>
      <c r="D31" s="43"/>
      <c r="E31" s="43"/>
      <c r="F31" s="43"/>
      <c r="G31" s="43"/>
      <c r="H31" s="43"/>
      <c r="I31" s="43"/>
      <c r="J31" s="43"/>
      <c r="K31" s="43"/>
      <c r="L31" s="43"/>
      <c r="M31" s="44"/>
    </row>
    <row r="32" ht="13.55" customHeight="1">
      <c r="A32" s="59"/>
      <c r="B32" s="43"/>
      <c r="C32" s="43"/>
      <c r="D32" s="43"/>
      <c r="E32" s="43"/>
      <c r="F32" s="43"/>
      <c r="G32" s="43"/>
      <c r="H32" s="43"/>
      <c r="I32" s="43"/>
      <c r="J32" s="43"/>
      <c r="K32" s="43"/>
      <c r="L32" s="43"/>
      <c r="M32" s="44"/>
    </row>
    <row r="33" ht="13.55" customHeight="1">
      <c r="A33" s="59"/>
      <c r="B33" s="43"/>
      <c r="C33" s="43"/>
      <c r="D33" s="43"/>
      <c r="E33" s="43"/>
      <c r="F33" s="43"/>
      <c r="G33" s="43"/>
      <c r="H33" s="43"/>
      <c r="I33" s="43"/>
      <c r="J33" s="43"/>
      <c r="K33" s="43"/>
      <c r="L33" s="43"/>
      <c r="M33" s="44"/>
    </row>
    <row r="34" ht="13.55" customHeight="1">
      <c r="A34" s="59"/>
      <c r="B34" s="43"/>
      <c r="C34" s="43"/>
      <c r="D34" s="43"/>
      <c r="E34" s="43"/>
      <c r="F34" s="43"/>
      <c r="G34" s="43"/>
      <c r="H34" s="43"/>
      <c r="I34" s="43"/>
      <c r="J34" s="43"/>
      <c r="K34" s="43"/>
      <c r="L34" s="43"/>
      <c r="M34" s="44"/>
    </row>
    <row r="35" ht="13.55" customHeight="1">
      <c r="A35" s="59"/>
      <c r="B35" s="43"/>
      <c r="C35" s="43"/>
      <c r="D35" s="43"/>
      <c r="E35" s="43"/>
      <c r="F35" s="43"/>
      <c r="G35" s="43"/>
      <c r="H35" s="43"/>
      <c r="I35" s="43"/>
      <c r="J35" s="43"/>
      <c r="K35" s="43"/>
      <c r="L35" s="43"/>
      <c r="M35" s="44"/>
    </row>
    <row r="36" ht="13.55" customHeight="1">
      <c r="A36" s="59"/>
      <c r="B36" s="43"/>
      <c r="C36" s="43"/>
      <c r="D36" s="43"/>
      <c r="E36" s="43"/>
      <c r="F36" s="43"/>
      <c r="G36" s="43"/>
      <c r="H36" s="43"/>
      <c r="I36" s="43"/>
      <c r="J36" s="43"/>
      <c r="K36" s="43"/>
      <c r="L36" s="43"/>
      <c r="M36" s="44"/>
    </row>
    <row r="37" ht="13.55" customHeight="1">
      <c r="A37" s="59"/>
      <c r="B37" s="43"/>
      <c r="C37" s="43"/>
      <c r="D37" s="43"/>
      <c r="E37" s="43"/>
      <c r="F37" s="43"/>
      <c r="G37" s="43"/>
      <c r="H37" s="43"/>
      <c r="I37" s="43"/>
      <c r="J37" s="43"/>
      <c r="K37" s="43"/>
      <c r="L37" s="43"/>
      <c r="M37" s="44"/>
    </row>
    <row r="38" ht="13.55" customHeight="1">
      <c r="A38" s="59"/>
      <c r="B38" s="43"/>
      <c r="C38" s="43"/>
      <c r="D38" s="43"/>
      <c r="E38" s="43"/>
      <c r="F38" s="43"/>
      <c r="G38" s="43"/>
      <c r="H38" s="43"/>
      <c r="I38" s="43"/>
      <c r="J38" s="43"/>
      <c r="K38" s="43"/>
      <c r="L38" s="43"/>
      <c r="M38" s="44"/>
    </row>
    <row r="39" ht="13.55" customHeight="1">
      <c r="A39" s="60"/>
      <c r="B39" s="61"/>
      <c r="C39" s="61"/>
      <c r="D39" s="61"/>
      <c r="E39" s="61"/>
      <c r="F39" s="61"/>
      <c r="G39" s="61"/>
      <c r="H39" s="61"/>
      <c r="I39" s="61"/>
      <c r="J39" s="61"/>
      <c r="K39" s="61"/>
      <c r="L39" s="61"/>
      <c r="M39" s="36"/>
    </row>
  </sheetData>
  <mergeCells count="8">
    <mergeCell ref="I5:L6"/>
    <mergeCell ref="A2:L2"/>
    <mergeCell ref="A5:D6"/>
    <mergeCell ref="A4:D4"/>
    <mergeCell ref="A1:L1"/>
    <mergeCell ref="E4:H4"/>
    <mergeCell ref="I4:L4"/>
    <mergeCell ref="E5:H6"/>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worksheet>
</file>

<file path=xl/worksheets/sheet4.xml><?xml version="1.0" encoding="utf-8"?>
<worksheet xmlns:r="http://schemas.openxmlformats.org/officeDocument/2006/relationships" xmlns="http://schemas.openxmlformats.org/spreadsheetml/2006/main">
  <dimension ref="A1:H10"/>
  <sheetViews>
    <sheetView workbookViewId="0" showGridLines="0" defaultGridColor="1"/>
  </sheetViews>
  <sheetFormatPr defaultColWidth="8.83333" defaultRowHeight="15" customHeight="1" outlineLevelRow="0" outlineLevelCol="0"/>
  <cols>
    <col min="1" max="1" width="26" style="62" customWidth="1"/>
    <col min="2" max="2" width="20" style="62" customWidth="1"/>
    <col min="3" max="3" width="4" style="62" customWidth="1"/>
    <col min="4" max="4" width="20" style="62" customWidth="1"/>
    <col min="5" max="8" width="18" style="62" customWidth="1"/>
    <col min="9" max="16384" width="8.85156" style="62" customWidth="1"/>
  </cols>
  <sheetData>
    <row r="1" ht="21.95" customHeight="1">
      <c r="A1" t="s" s="63">
        <v>34</v>
      </c>
      <c r="B1" s="39"/>
      <c r="C1" s="39"/>
      <c r="D1" s="39"/>
      <c r="E1" s="39"/>
      <c r="F1" s="39"/>
      <c r="G1" s="39"/>
      <c r="H1" s="40"/>
    </row>
    <row r="2" ht="13.5" customHeight="1">
      <c r="A2" s="59"/>
      <c r="B2" s="43"/>
      <c r="C2" s="43"/>
      <c r="D2" s="43"/>
      <c r="E2" s="43"/>
      <c r="F2" s="43"/>
      <c r="G2" s="43"/>
      <c r="H2" s="44"/>
    </row>
    <row r="3" ht="13.5" customHeight="1">
      <c r="A3" t="s" s="64">
        <v>35</v>
      </c>
      <c r="B3" t="s" s="65">
        <v>36</v>
      </c>
      <c r="C3" s="43"/>
      <c r="D3" t="s" s="65">
        <v>15</v>
      </c>
      <c r="E3" s="43"/>
      <c r="F3" s="43"/>
      <c r="G3" s="43"/>
      <c r="H3" s="44"/>
    </row>
    <row r="4" ht="13.5" customHeight="1">
      <c r="A4" t="s" s="66">
        <v>16</v>
      </c>
      <c r="B4" s="67" cm="1">
        <f t="array" ref="B4">INDEX('Raw Data'!$B$2:$B$11,MATCH($D$4,'Raw Data'!$A$2:$A$11,0))</f>
        <v>267021</v>
      </c>
      <c r="C4" s="43"/>
      <c r="D4" t="s" s="68">
        <v>31</v>
      </c>
      <c r="E4" s="43"/>
      <c r="F4" s="43"/>
      <c r="G4" s="43"/>
      <c r="H4" s="44"/>
    </row>
    <row r="5" ht="13.5" customHeight="1">
      <c r="A5" t="s" s="66">
        <v>17</v>
      </c>
      <c r="B5" s="67" cm="1">
        <f t="array" ref="B5">INDEX('Raw Data'!$C$2:$C$11,MATCH($D$4,'Raw Data'!$A$2:$A$11,0))</f>
        <v>49210</v>
      </c>
      <c r="C5" s="43"/>
      <c r="D5" s="43"/>
      <c r="E5" s="43"/>
      <c r="F5" s="43"/>
      <c r="G5" s="43"/>
      <c r="H5" s="44"/>
    </row>
    <row r="6" ht="13.5" customHeight="1">
      <c r="A6" t="s" s="66">
        <v>18</v>
      </c>
      <c r="B6" s="67" cm="1">
        <f t="array" ref="B6">INDEX('Raw Data'!$D$2:$D$11,MATCH($D$4,'Raw Data'!$A$2:$A$11,0))</f>
        <v>52094</v>
      </c>
      <c r="C6" s="43"/>
      <c r="D6" t="s" s="69">
        <v>37</v>
      </c>
      <c r="E6" s="43"/>
      <c r="F6" s="43"/>
      <c r="G6" s="43"/>
      <c r="H6" s="44"/>
    </row>
    <row r="7" ht="13.5" customHeight="1">
      <c r="A7" t="s" s="66">
        <v>19</v>
      </c>
      <c r="B7" s="70" cm="1">
        <f t="array" ref="B7">INDEX('Raw Data'!$E$2:$E$11,MATCH($D$4,'Raw Data'!$A$2:$A$11,0))</f>
        <v>0.0458123795647883</v>
      </c>
      <c r="C7" s="43"/>
      <c r="D7" s="43"/>
      <c r="E7" s="43"/>
      <c r="F7" s="43"/>
      <c r="G7" s="43"/>
      <c r="H7" s="44"/>
    </row>
    <row r="8" ht="13.5" customHeight="1">
      <c r="A8" t="s" s="66">
        <v>20</v>
      </c>
      <c r="B8" s="70" cm="1">
        <f t="array" ref="B8">INDEX('Raw Data'!$F$2:$F$11,MATCH($D$4,'Raw Data'!$A$2:$A$11,0))</f>
        <v>0.184292621179608</v>
      </c>
      <c r="C8" s="43"/>
      <c r="D8" s="43"/>
      <c r="E8" s="43"/>
      <c r="F8" s="43"/>
      <c r="G8" s="43"/>
      <c r="H8" s="44"/>
    </row>
    <row r="9" ht="13.5" customHeight="1">
      <c r="A9" t="s" s="66">
        <v>21</v>
      </c>
      <c r="B9" s="70" cm="1">
        <f t="array" ref="B9">INDEX('Raw Data'!$G$2:$G$11,MATCH($D$4,'Raw Data'!$A$2:$A$11,0))</f>
        <v>0.19509326981773</v>
      </c>
      <c r="C9" s="43"/>
      <c r="D9" s="43"/>
      <c r="E9" s="43"/>
      <c r="F9" s="43"/>
      <c r="G9" s="43"/>
      <c r="H9" s="44"/>
    </row>
    <row r="10" ht="13.5" customHeight="1">
      <c r="A10" s="60"/>
      <c r="B10" s="61"/>
      <c r="C10" s="61"/>
      <c r="D10" s="61"/>
      <c r="E10" s="61"/>
      <c r="F10" s="61"/>
      <c r="G10" s="61"/>
      <c r="H10" s="36"/>
    </row>
  </sheetData>
  <mergeCells count="2">
    <mergeCell ref="D6:H6"/>
    <mergeCell ref="A1:H1"/>
  </mergeCells>
  <dataValidations count="1">
    <dataValidation type="list" allowBlank="1" showInputMessage="1" showErrorMessage="1" sqref="D4">
      <formula1>"FY2016-17,FY2017-18,FY2018-19,FY2019-20,FY2020-21,FY2021-22,FY2022-23,FY2023-24,FY2024-25,FY2025-26"</formula1>
    </dataValidation>
  </dataValidation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I15"/>
  <sheetViews>
    <sheetView workbookViewId="0" showGridLines="0" defaultGridColor="1"/>
  </sheetViews>
  <sheetFormatPr defaultColWidth="8.83333" defaultRowHeight="15" customHeight="1" outlineLevelRow="0" outlineLevelCol="0"/>
  <cols>
    <col min="1" max="1" width="14" style="71" customWidth="1"/>
    <col min="2" max="2" width="16" style="71" customWidth="1"/>
    <col min="3" max="3" width="18" style="71" customWidth="1"/>
    <col min="4" max="4" width="20" style="71" customWidth="1"/>
    <col min="5" max="5" width="16" style="71" customWidth="1"/>
    <col min="6" max="6" width="4" style="71" customWidth="1"/>
    <col min="7" max="7" width="28" style="71" customWidth="1"/>
    <col min="8" max="9" width="18" style="71" customWidth="1"/>
    <col min="10" max="16384" width="8.85156" style="71" customWidth="1"/>
  </cols>
  <sheetData>
    <row r="1" ht="21.95" customHeight="1">
      <c r="A1" t="s" s="63">
        <v>38</v>
      </c>
      <c r="B1" s="39"/>
      <c r="C1" s="39"/>
      <c r="D1" s="39"/>
      <c r="E1" s="39"/>
      <c r="F1" s="39"/>
      <c r="G1" s="39"/>
      <c r="H1" s="39"/>
      <c r="I1" s="72"/>
    </row>
    <row r="2" ht="13.5" customHeight="1">
      <c r="A2" s="59"/>
      <c r="B2" s="43"/>
      <c r="C2" s="43"/>
      <c r="D2" s="43"/>
      <c r="E2" s="43"/>
      <c r="F2" s="43"/>
      <c r="G2" s="43"/>
      <c r="H2" s="43"/>
      <c r="I2" s="44"/>
    </row>
    <row r="3" ht="13.5" customHeight="1">
      <c r="A3" t="s" s="73">
        <v>39</v>
      </c>
      <c r="B3" t="s" s="74">
        <v>15</v>
      </c>
      <c r="C3" t="s" s="74">
        <v>40</v>
      </c>
      <c r="D3" t="s" s="74">
        <v>41</v>
      </c>
      <c r="E3" t="s" s="74">
        <v>42</v>
      </c>
      <c r="F3" s="43"/>
      <c r="G3" t="s" s="65">
        <v>35</v>
      </c>
      <c r="H3" t="s" s="65">
        <v>36</v>
      </c>
      <c r="I3" s="75"/>
    </row>
    <row r="4" ht="13.5" customHeight="1">
      <c r="A4" s="76">
        <v>1</v>
      </c>
      <c r="B4" t="str" s="43" cm="1">
        <f t="array" ref="B4">'Raw Data'!A2</f>
        <v>FY2016-17</v>
      </c>
      <c r="C4" s="67" cm="1">
        <f t="array" ref="C4">'Raw Data'!B2</f>
        <v>108646</v>
      </c>
      <c r="D4" s="67" cm="1">
        <f t="array" ref="D4">SLOPE($C$4:$C$13,$A$4:$A$13)*A4+INTERCEPT($C$4:$C$13,$A$4:$A$13)</f>
        <v>104628.836363636</v>
      </c>
      <c r="E4" s="67" cm="1">
        <f t="array" ref="E4">C4-D4</f>
        <v>4017.163636364</v>
      </c>
      <c r="F4" s="43"/>
      <c r="G4" t="s" s="68">
        <v>43</v>
      </c>
      <c r="H4" s="77" cm="1">
        <f t="array" ref="H4">SLOPE(C4:C13,A4:A13)</f>
        <v>18522.2363636364</v>
      </c>
      <c r="I4" s="78"/>
    </row>
    <row r="5" ht="13.5" customHeight="1">
      <c r="A5" s="76">
        <v>2</v>
      </c>
      <c r="B5" t="str" s="43" cm="1">
        <f t="array" ref="B5">'Raw Data'!A3</f>
        <v>FY2017-18</v>
      </c>
      <c r="C5" s="67" cm="1">
        <f t="array" ref="C5">'Raw Data'!B3</f>
        <v>123104</v>
      </c>
      <c r="D5" s="67" cm="1">
        <f t="array" ref="D5">SLOPE($C$4:$C$13,$A$4:$A$13)*A5+INTERCEPT($C$4:$C$13,$A$4:$A$13)</f>
        <v>123151.072727273</v>
      </c>
      <c r="E5" s="67" cm="1">
        <f t="array" ref="E5">C5-D5</f>
        <v>-47.072727273</v>
      </c>
      <c r="F5" s="43"/>
      <c r="G5" t="s" s="68">
        <v>44</v>
      </c>
      <c r="H5" s="77" cm="1">
        <f t="array" ref="H5">INTERCEPT(C4:C13,A4:A13)</f>
        <v>86106.600000000006</v>
      </c>
      <c r="I5" s="78"/>
    </row>
    <row r="6" ht="13.5" customHeight="1">
      <c r="A6" s="76">
        <v>3</v>
      </c>
      <c r="B6" t="str" s="43" cm="1">
        <f t="array" ref="B6">'Raw Data'!A4</f>
        <v>FY2018-19</v>
      </c>
      <c r="C6" s="67" cm="1">
        <f t="array" ref="C6">'Raw Data'!B4</f>
        <v>146463</v>
      </c>
      <c r="D6" s="67" cm="1">
        <f t="array" ref="D6">SLOPE($C$4:$C$13,$A$4:$A$13)*A6+INTERCEPT($C$4:$C$13,$A$4:$A$13)</f>
        <v>141673.309090909</v>
      </c>
      <c r="E6" s="67" cm="1">
        <f t="array" ref="E6">C6-D6</f>
        <v>4789.690909091</v>
      </c>
      <c r="F6" s="43"/>
      <c r="G6" t="s" s="68">
        <v>45</v>
      </c>
      <c r="H6" s="77" cm="1">
        <f t="array" ref="H6">H4*11+H5</f>
        <v>289851.2</v>
      </c>
      <c r="I6" s="78"/>
    </row>
    <row r="7" ht="13.5" customHeight="1">
      <c r="A7" s="76">
        <v>4</v>
      </c>
      <c r="B7" t="str" s="43" cm="1">
        <f t="array" ref="B7">'Raw Data'!A5</f>
        <v>FY2019-20</v>
      </c>
      <c r="C7" s="67" cm="1">
        <f t="array" ref="C7">'Raw Data'!B5</f>
        <v>156949</v>
      </c>
      <c r="D7" s="67" cm="1">
        <f t="array" ref="D7">SLOPE($C$4:$C$13,$A$4:$A$13)*A7+INTERCEPT($C$4:$C$13,$A$4:$A$13)</f>
        <v>160195.545454545</v>
      </c>
      <c r="E7" s="67" cm="1">
        <f t="array" ref="E7">C7-D7</f>
        <v>-3246.545454545</v>
      </c>
      <c r="F7" s="43"/>
      <c r="G7" t="s" s="68">
        <v>46</v>
      </c>
      <c r="H7" s="79">
        <v>0.984222186386327</v>
      </c>
      <c r="I7" s="80"/>
    </row>
    <row r="8" ht="13.5" customHeight="1">
      <c r="A8" s="76">
        <v>5</v>
      </c>
      <c r="B8" t="str" s="43" cm="1">
        <f t="array" ref="B8">'Raw Data'!A6</f>
        <v>FY2020-21</v>
      </c>
      <c r="C8" s="67" cm="1">
        <f t="array" ref="C8">'Raw Data'!B6</f>
        <v>164177</v>
      </c>
      <c r="D8" s="67" cm="1">
        <f t="array" ref="D8">SLOPE($C$4:$C$13,$A$4:$A$13)*A8+INTERCEPT($C$4:$C$13,$A$4:$A$13)</f>
        <v>178717.781818182</v>
      </c>
      <c r="E8" s="67" cm="1">
        <f t="array" ref="E8">C8-D8</f>
        <v>-14540.781818182</v>
      </c>
      <c r="F8" s="43"/>
      <c r="G8" s="43"/>
      <c r="H8" s="43"/>
      <c r="I8" s="44"/>
    </row>
    <row r="9" ht="13.5" customHeight="1">
      <c r="A9" s="76">
        <v>6</v>
      </c>
      <c r="B9" t="str" s="43" cm="1">
        <f t="array" ref="B9">'Raw Data'!A7</f>
        <v>FY2021-22</v>
      </c>
      <c r="C9" s="67" cm="1">
        <f t="array" ref="C9">'Raw Data'!B7</f>
        <v>191754</v>
      </c>
      <c r="D9" s="67" cm="1">
        <f t="array" ref="D9">SLOPE($C$4:$C$13,$A$4:$A$13)*A9+INTERCEPT($C$4:$C$13,$A$4:$A$13)</f>
        <v>197240.018181818</v>
      </c>
      <c r="E9" s="67" cm="1">
        <f t="array" ref="E9">C9-D9</f>
        <v>-5486.018181818</v>
      </c>
      <c r="F9" s="43"/>
      <c r="G9" s="43"/>
      <c r="H9" s="43"/>
      <c r="I9" s="44"/>
    </row>
    <row r="10" ht="13.5" customHeight="1">
      <c r="A10" s="76">
        <v>7</v>
      </c>
      <c r="B10" t="str" s="43" cm="1">
        <f t="array" ref="B10">'Raw Data'!A8</f>
        <v>FY2022-23</v>
      </c>
      <c r="C10" s="67" cm="1">
        <f t="array" ref="C10">'Raw Data'!B8</f>
        <v>225458</v>
      </c>
      <c r="D10" s="67" cm="1">
        <f t="array" ref="D10">SLOPE($C$4:$C$13,$A$4:$A$13)*A10+INTERCEPT($C$4:$C$13,$A$4:$A$13)</f>
        <v>215762.254545455</v>
      </c>
      <c r="E10" s="67" cm="1">
        <f t="array" ref="E10">C10-D10</f>
        <v>9695.745454545</v>
      </c>
      <c r="F10" s="43"/>
      <c r="G10" s="43"/>
      <c r="H10" s="43"/>
      <c r="I10" s="44"/>
    </row>
    <row r="11" ht="13.5" customHeight="1">
      <c r="A11" s="76">
        <v>8</v>
      </c>
      <c r="B11" t="str" s="43" cm="1">
        <f t="array" ref="B11">'Raw Data'!A9</f>
        <v>FY2023-24</v>
      </c>
      <c r="C11" s="67" cm="1">
        <f t="array" ref="C11">'Raw Data'!B9</f>
        <v>240893</v>
      </c>
      <c r="D11" s="67" cm="1">
        <f t="array" ref="D11">SLOPE($C$4:$C$13,$A$4:$A$13)*A11+INTERCEPT($C$4:$C$13,$A$4:$A$13)</f>
        <v>234284.490909091</v>
      </c>
      <c r="E11" s="67" cm="1">
        <f t="array" ref="E11">C11-D11</f>
        <v>6608.509090909</v>
      </c>
      <c r="F11" s="43"/>
      <c r="G11" s="43"/>
      <c r="H11" s="43"/>
      <c r="I11" s="44"/>
    </row>
    <row r="12" ht="13.5" customHeight="1">
      <c r="A12" s="76">
        <v>9</v>
      </c>
      <c r="B12" t="str" s="43" cm="1">
        <f t="array" ref="B12">'Raw Data'!A10</f>
        <v>FY2024-25</v>
      </c>
      <c r="C12" s="67" cm="1">
        <f t="array" ref="C12">'Raw Data'!B10</f>
        <v>255324</v>
      </c>
      <c r="D12" s="67" cm="1">
        <f t="array" ref="D12">SLOPE($C$4:$C$13,$A$4:$A$13)*A12+INTERCEPT($C$4:$C$13,$A$4:$A$13)</f>
        <v>252806.727272727</v>
      </c>
      <c r="E12" s="67" cm="1">
        <f t="array" ref="E12">C12-D12</f>
        <v>2517.272727273</v>
      </c>
      <c r="F12" s="43"/>
      <c r="G12" s="43"/>
      <c r="H12" s="43"/>
      <c r="I12" s="44"/>
    </row>
    <row r="13" ht="13.5" customHeight="1">
      <c r="A13" s="76">
        <v>10</v>
      </c>
      <c r="B13" t="str" s="43" cm="1">
        <f t="array" ref="B13">'Raw Data'!A11</f>
        <v>FY2025-26</v>
      </c>
      <c r="C13" s="67" cm="1">
        <f t="array" ref="C13">'Raw Data'!B11</f>
        <v>267021</v>
      </c>
      <c r="D13" s="67" cm="1">
        <f t="array" ref="D13">SLOPE($C$4:$C$13,$A$4:$A$13)*A13+INTERCEPT($C$4:$C$13,$A$4:$A$13)</f>
        <v>271328.963636364</v>
      </c>
      <c r="E13" s="67" cm="1">
        <f t="array" ref="E13">C13-D13</f>
        <v>-4307.963636364</v>
      </c>
      <c r="F13" s="43"/>
      <c r="G13" s="43"/>
      <c r="H13" s="43"/>
      <c r="I13" s="44"/>
    </row>
    <row r="14" ht="13.5" customHeight="1">
      <c r="A14" s="59"/>
      <c r="B14" s="43"/>
      <c r="C14" s="43"/>
      <c r="D14" s="43"/>
      <c r="E14" s="43"/>
      <c r="F14" s="43"/>
      <c r="G14" s="43"/>
      <c r="H14" s="43"/>
      <c r="I14" s="44"/>
    </row>
    <row r="15" ht="13.5" customHeight="1">
      <c r="A15" t="s" s="81">
        <v>47</v>
      </c>
      <c r="B15" t="s" s="82">
        <v>48</v>
      </c>
      <c r="C15" s="61"/>
      <c r="D15" s="61"/>
      <c r="E15" s="61"/>
      <c r="F15" s="61"/>
      <c r="G15" s="61"/>
      <c r="H15" s="61"/>
      <c r="I15" s="36"/>
    </row>
  </sheetData>
  <mergeCells count="2">
    <mergeCell ref="B15:H15"/>
    <mergeCell ref="A1:H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worksheet>
</file>

<file path=xl/worksheets/sheet6.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8.83333" defaultRowHeight="15.4" customHeight="1" outlineLevelRow="0" outlineLevelCol="0"/>
  <cols>
    <col min="1" max="1" width="24" style="83" customWidth="1"/>
    <col min="2" max="2" width="100" style="83" customWidth="1"/>
    <col min="3" max="6" width="8.85156" style="83" customWidth="1"/>
    <col min="7" max="16384" width="8.85156" style="83" customWidth="1"/>
  </cols>
  <sheetData>
    <row r="1" ht="21.95" customHeight="1">
      <c r="A1" t="s" s="84">
        <v>49</v>
      </c>
      <c r="B1" s="39"/>
      <c r="C1" s="39"/>
      <c r="D1" s="39"/>
      <c r="E1" s="39"/>
      <c r="F1" s="40"/>
    </row>
    <row r="2" ht="13.5" customHeight="1">
      <c r="A2" s="59"/>
      <c r="B2" s="43"/>
      <c r="C2" s="43"/>
      <c r="D2" s="43"/>
      <c r="E2" s="43"/>
      <c r="F2" s="44"/>
    </row>
    <row r="3" ht="13.5" customHeight="1">
      <c r="A3" t="s" s="85">
        <v>50</v>
      </c>
      <c r="B3" t="s" s="86">
        <v>51</v>
      </c>
      <c r="C3" s="43"/>
      <c r="D3" s="43"/>
      <c r="E3" s="43"/>
      <c r="F3" s="44"/>
    </row>
    <row r="4" ht="39.75" customHeight="1">
      <c r="A4" t="s" s="87">
        <v>52</v>
      </c>
      <c r="B4" t="s" s="88">
        <v>53</v>
      </c>
      <c r="C4" s="43"/>
      <c r="D4" s="43"/>
      <c r="E4" s="43"/>
      <c r="F4" s="44"/>
    </row>
    <row r="5" ht="56.25" customHeight="1">
      <c r="A5" t="s" s="87">
        <v>54</v>
      </c>
      <c r="B5" t="s" s="88">
        <v>55</v>
      </c>
      <c r="C5" s="43"/>
      <c r="D5" s="43"/>
      <c r="E5" s="43"/>
      <c r="F5" s="44"/>
    </row>
    <row r="6" ht="51" customHeight="1">
      <c r="A6" t="s" s="87">
        <v>56</v>
      </c>
      <c r="B6" t="s" s="88">
        <v>57</v>
      </c>
      <c r="C6" s="43"/>
      <c r="D6" s="43"/>
      <c r="E6" s="43"/>
      <c r="F6" s="44"/>
    </row>
    <row r="7" ht="46.5" customHeight="1">
      <c r="A7" t="s" s="87">
        <v>58</v>
      </c>
      <c r="B7" t="s" s="88">
        <v>59</v>
      </c>
      <c r="C7" s="43"/>
      <c r="D7" s="43"/>
      <c r="E7" s="43"/>
      <c r="F7" s="44"/>
    </row>
    <row r="8" ht="13.5" customHeight="1">
      <c r="A8" s="59"/>
      <c r="B8" s="43"/>
      <c r="C8" s="43"/>
      <c r="D8" s="43"/>
      <c r="E8" s="43"/>
      <c r="F8" s="44"/>
    </row>
    <row r="9" ht="13.5" customHeight="1">
      <c r="A9" s="59"/>
      <c r="B9" s="43"/>
      <c r="C9" s="43"/>
      <c r="D9" s="43"/>
      <c r="E9" s="43"/>
      <c r="F9" s="44"/>
    </row>
    <row r="10" ht="13.5" customHeight="1">
      <c r="A10" s="60"/>
      <c r="B10" s="61"/>
      <c r="C10" s="61"/>
      <c r="D10" s="61"/>
      <c r="E10" s="61"/>
      <c r="F10" s="36"/>
    </row>
  </sheetData>
  <mergeCells count="1">
    <mergeCell ref="A1:F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